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aghav/Documents/Cal Poly/BUS 438/"/>
    </mc:Choice>
  </mc:AlternateContent>
  <xr:revisionPtr revIDLastSave="0" documentId="13_ncr:40009_{BB957849-695A-3840-8B26-66A470C41B19}" xr6:coauthVersionLast="45" xr6:coauthVersionMax="45" xr10:uidLastSave="{00000000-0000-0000-0000-000000000000}"/>
  <bookViews>
    <workbookView xWindow="0" yWindow="0" windowWidth="33600" windowHeight="21000" activeTab="1"/>
  </bookViews>
  <sheets>
    <sheet name="Disney " sheetId="3" r:id="rId1"/>
    <sheet name="Comcast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2" i="5" l="1"/>
  <c r="J132" i="5"/>
  <c r="I132" i="5"/>
  <c r="H132" i="5"/>
  <c r="G132" i="5"/>
  <c r="F132" i="5"/>
  <c r="E132" i="5"/>
  <c r="D132" i="5"/>
  <c r="C132" i="5"/>
  <c r="C126" i="5"/>
  <c r="K122" i="5"/>
  <c r="J122" i="5"/>
  <c r="I122" i="5"/>
  <c r="H122" i="5"/>
  <c r="G122" i="5"/>
  <c r="F122" i="5"/>
  <c r="E122" i="5"/>
  <c r="D122" i="5"/>
  <c r="C122" i="5"/>
  <c r="K121" i="5"/>
  <c r="J121" i="5"/>
  <c r="I121" i="5"/>
  <c r="H121" i="5"/>
  <c r="G121" i="5"/>
  <c r="F121" i="5"/>
  <c r="E121" i="5"/>
  <c r="D121" i="5"/>
  <c r="C121" i="5"/>
  <c r="K120" i="5"/>
  <c r="J120" i="5"/>
  <c r="I120" i="5"/>
  <c r="H120" i="5"/>
  <c r="G120" i="5"/>
  <c r="F120" i="5"/>
  <c r="E120" i="5"/>
  <c r="D120" i="5"/>
  <c r="C120" i="5"/>
  <c r="K119" i="5"/>
  <c r="J119" i="5"/>
  <c r="I119" i="5"/>
  <c r="H119" i="5"/>
  <c r="G119" i="5"/>
  <c r="F119" i="5"/>
  <c r="E119" i="5"/>
  <c r="D119" i="5"/>
  <c r="C119" i="5"/>
  <c r="K118" i="5"/>
  <c r="J118" i="5"/>
  <c r="I118" i="5"/>
  <c r="H118" i="5"/>
  <c r="G118" i="5"/>
  <c r="F118" i="5"/>
  <c r="E118" i="5"/>
  <c r="D118" i="5"/>
  <c r="C118" i="5"/>
  <c r="K114" i="5"/>
  <c r="J114" i="5"/>
  <c r="I114" i="5"/>
  <c r="H114" i="5"/>
  <c r="G114" i="5"/>
  <c r="F114" i="5"/>
  <c r="E114" i="5"/>
  <c r="D114" i="5"/>
  <c r="C114" i="5"/>
  <c r="K113" i="5"/>
  <c r="J113" i="5"/>
  <c r="I113" i="5"/>
  <c r="H113" i="5"/>
  <c r="G113" i="5"/>
  <c r="F113" i="5"/>
  <c r="E113" i="5"/>
  <c r="D113" i="5"/>
  <c r="C113" i="5"/>
  <c r="K112" i="5"/>
  <c r="J112" i="5"/>
  <c r="I112" i="5"/>
  <c r="H112" i="5"/>
  <c r="G112" i="5"/>
  <c r="F112" i="5"/>
  <c r="E112" i="5"/>
  <c r="D112" i="5"/>
  <c r="C112" i="5"/>
  <c r="K111" i="5"/>
  <c r="J111" i="5"/>
  <c r="I111" i="5"/>
  <c r="H111" i="5"/>
  <c r="G111" i="5"/>
  <c r="F111" i="5"/>
  <c r="E111" i="5"/>
  <c r="D111" i="5"/>
  <c r="C111" i="5"/>
  <c r="K110" i="5"/>
  <c r="J110" i="5"/>
  <c r="I110" i="5"/>
  <c r="H110" i="5"/>
  <c r="G110" i="5"/>
  <c r="F110" i="5"/>
  <c r="E110" i="5"/>
  <c r="D110" i="5"/>
  <c r="C110" i="5"/>
  <c r="K105" i="5"/>
  <c r="J105" i="5"/>
  <c r="I105" i="5"/>
  <c r="H105" i="5"/>
  <c r="G105" i="5"/>
  <c r="F105" i="5"/>
  <c r="E105" i="5"/>
  <c r="D105" i="5"/>
  <c r="C105" i="5"/>
  <c r="K104" i="5"/>
  <c r="J104" i="5"/>
  <c r="I104" i="5"/>
  <c r="H104" i="5"/>
  <c r="G104" i="5"/>
  <c r="F104" i="5"/>
  <c r="E104" i="5"/>
  <c r="D104" i="5"/>
  <c r="C104" i="5"/>
  <c r="K103" i="5"/>
  <c r="J103" i="5"/>
  <c r="I103" i="5"/>
  <c r="H103" i="5"/>
  <c r="G103" i="5"/>
  <c r="F103" i="5"/>
  <c r="E103" i="5"/>
  <c r="D103" i="5"/>
  <c r="C103" i="5"/>
  <c r="K102" i="5"/>
  <c r="J102" i="5"/>
  <c r="I102" i="5"/>
  <c r="H102" i="5"/>
  <c r="G102" i="5"/>
  <c r="F102" i="5"/>
  <c r="E102" i="5"/>
  <c r="D102" i="5"/>
  <c r="C102" i="5"/>
  <c r="K101" i="5"/>
  <c r="J101" i="5"/>
  <c r="I101" i="5"/>
  <c r="H101" i="5"/>
  <c r="G101" i="5"/>
  <c r="F101" i="5"/>
  <c r="E101" i="5"/>
  <c r="D101" i="5"/>
  <c r="C101" i="5"/>
  <c r="K100" i="5"/>
  <c r="J100" i="5"/>
  <c r="I100" i="5"/>
  <c r="H100" i="5"/>
  <c r="G100" i="5"/>
  <c r="F100" i="5"/>
  <c r="E100" i="5"/>
  <c r="D100" i="5"/>
  <c r="C100" i="5"/>
  <c r="K99" i="5"/>
  <c r="J99" i="5"/>
  <c r="I99" i="5"/>
  <c r="H99" i="5"/>
  <c r="G99" i="5"/>
  <c r="F99" i="5"/>
  <c r="E99" i="5"/>
  <c r="D99" i="5"/>
  <c r="C99" i="5"/>
  <c r="K98" i="5"/>
  <c r="J98" i="5"/>
  <c r="I98" i="5"/>
  <c r="H98" i="5"/>
  <c r="G98" i="5"/>
  <c r="F98" i="5"/>
  <c r="E98" i="5"/>
  <c r="D98" i="5"/>
  <c r="C98" i="5"/>
  <c r="K97" i="5"/>
  <c r="J97" i="5"/>
  <c r="I97" i="5"/>
  <c r="H97" i="5"/>
  <c r="G97" i="5"/>
  <c r="F97" i="5"/>
  <c r="E97" i="5"/>
  <c r="D97" i="5"/>
  <c r="C97" i="5"/>
  <c r="K96" i="5"/>
  <c r="I96" i="5"/>
  <c r="I137" i="5" s="1"/>
  <c r="H96" i="5"/>
  <c r="G96" i="5"/>
  <c r="I91" i="5"/>
  <c r="H91" i="5"/>
  <c r="G91" i="5"/>
  <c r="F91" i="5"/>
  <c r="E91" i="5"/>
  <c r="D91" i="5"/>
  <c r="C91" i="5"/>
  <c r="K89" i="5"/>
  <c r="K91" i="5" s="1"/>
  <c r="J89" i="5"/>
  <c r="J91" i="5" s="1"/>
  <c r="I89" i="5"/>
  <c r="H89" i="5"/>
  <c r="G89" i="5"/>
  <c r="F89" i="5"/>
  <c r="F96" i="5" s="1"/>
  <c r="E89" i="5"/>
  <c r="E96" i="5" s="1"/>
  <c r="D89" i="5"/>
  <c r="D96" i="5" s="1"/>
  <c r="C89" i="5"/>
  <c r="C96" i="5" s="1"/>
  <c r="B89" i="5"/>
  <c r="B91" i="5" s="1"/>
  <c r="J74" i="5"/>
  <c r="J77" i="5" s="1"/>
  <c r="J82" i="5" s="1"/>
  <c r="I74" i="5"/>
  <c r="I77" i="5" s="1"/>
  <c r="I82" i="5" s="1"/>
  <c r="H74" i="5"/>
  <c r="H77" i="5" s="1"/>
  <c r="H82" i="5" s="1"/>
  <c r="K71" i="5"/>
  <c r="K74" i="5" s="1"/>
  <c r="K77" i="5" s="1"/>
  <c r="K82" i="5" s="1"/>
  <c r="J71" i="5"/>
  <c r="I71" i="5"/>
  <c r="H71" i="5"/>
  <c r="G71" i="5"/>
  <c r="G74" i="5" s="1"/>
  <c r="G77" i="5" s="1"/>
  <c r="G82" i="5" s="1"/>
  <c r="F71" i="5"/>
  <c r="F74" i="5" s="1"/>
  <c r="F77" i="5" s="1"/>
  <c r="F82" i="5" s="1"/>
  <c r="E71" i="5"/>
  <c r="E74" i="5" s="1"/>
  <c r="E77" i="5" s="1"/>
  <c r="E82" i="5" s="1"/>
  <c r="D71" i="5"/>
  <c r="D74" i="5" s="1"/>
  <c r="D77" i="5" s="1"/>
  <c r="D82" i="5" s="1"/>
  <c r="C71" i="5"/>
  <c r="C74" i="5" s="1"/>
  <c r="C77" i="5" s="1"/>
  <c r="C82" i="5" s="1"/>
  <c r="B71" i="5"/>
  <c r="B74" i="5" s="1"/>
  <c r="B77" i="5" s="1"/>
  <c r="B82" i="5" s="1"/>
  <c r="I60" i="5"/>
  <c r="I139" i="5" s="1"/>
  <c r="H60" i="5"/>
  <c r="H139" i="5" s="1"/>
  <c r="G60" i="5"/>
  <c r="G139" i="5" s="1"/>
  <c r="F60" i="5"/>
  <c r="F139" i="5" s="1"/>
  <c r="E60" i="5"/>
  <c r="F136" i="5" s="1"/>
  <c r="D60" i="5"/>
  <c r="E136" i="5" s="1"/>
  <c r="C60" i="5"/>
  <c r="D136" i="5" s="1"/>
  <c r="K57" i="5"/>
  <c r="K60" i="5" s="1"/>
  <c r="J57" i="5"/>
  <c r="J60" i="5" s="1"/>
  <c r="I57" i="5"/>
  <c r="H57" i="5"/>
  <c r="G57" i="5"/>
  <c r="F57" i="5"/>
  <c r="E57" i="5"/>
  <c r="D57" i="5"/>
  <c r="C57" i="5"/>
  <c r="B57" i="5"/>
  <c r="B60" i="5" s="1"/>
  <c r="C136" i="5" s="1"/>
  <c r="K49" i="5"/>
  <c r="J49" i="5"/>
  <c r="I49" i="5"/>
  <c r="I62" i="5" s="1"/>
  <c r="H49" i="5"/>
  <c r="H62" i="5" s="1"/>
  <c r="G49" i="5"/>
  <c r="G62" i="5" s="1"/>
  <c r="K41" i="5"/>
  <c r="J41" i="5"/>
  <c r="I41" i="5"/>
  <c r="H41" i="5"/>
  <c r="G41" i="5"/>
  <c r="F41" i="5"/>
  <c r="F49" i="5" s="1"/>
  <c r="E41" i="5"/>
  <c r="E49" i="5" s="1"/>
  <c r="D41" i="5"/>
  <c r="D49" i="5" s="1"/>
  <c r="C41" i="5"/>
  <c r="C49" i="5" s="1"/>
  <c r="B41" i="5"/>
  <c r="B49" i="5" s="1"/>
  <c r="K23" i="5"/>
  <c r="K134" i="5" s="1"/>
  <c r="J23" i="5"/>
  <c r="J134" i="5" s="1"/>
  <c r="I23" i="5"/>
  <c r="J131" i="5" s="1"/>
  <c r="H23" i="5"/>
  <c r="I131" i="5" s="1"/>
  <c r="G23" i="5"/>
  <c r="F23" i="5"/>
  <c r="E23" i="5"/>
  <c r="D23" i="5"/>
  <c r="C23" i="5"/>
  <c r="D131" i="5" s="1"/>
  <c r="B23" i="5"/>
  <c r="B18" i="5"/>
  <c r="K132" i="3"/>
  <c r="J132" i="3"/>
  <c r="I132" i="3"/>
  <c r="H132" i="3"/>
  <c r="G132" i="3"/>
  <c r="F132" i="3"/>
  <c r="E132" i="3"/>
  <c r="D132" i="3"/>
  <c r="C132" i="3"/>
  <c r="K131" i="3"/>
  <c r="C126" i="3"/>
  <c r="K122" i="3"/>
  <c r="J122" i="3"/>
  <c r="I122" i="3"/>
  <c r="H122" i="3"/>
  <c r="G122" i="3"/>
  <c r="F122" i="3"/>
  <c r="E122" i="3"/>
  <c r="D122" i="3"/>
  <c r="C122" i="3"/>
  <c r="K121" i="3"/>
  <c r="J121" i="3"/>
  <c r="I121" i="3"/>
  <c r="H121" i="3"/>
  <c r="G121" i="3"/>
  <c r="F121" i="3"/>
  <c r="E121" i="3"/>
  <c r="D121" i="3"/>
  <c r="C121" i="3"/>
  <c r="K120" i="3"/>
  <c r="J120" i="3"/>
  <c r="I120" i="3"/>
  <c r="H120" i="3"/>
  <c r="G120" i="3"/>
  <c r="F120" i="3"/>
  <c r="E120" i="3"/>
  <c r="D120" i="3"/>
  <c r="C120" i="3"/>
  <c r="K119" i="3"/>
  <c r="J119" i="3"/>
  <c r="I119" i="3"/>
  <c r="H119" i="3"/>
  <c r="G119" i="3"/>
  <c r="F119" i="3"/>
  <c r="E119" i="3"/>
  <c r="D119" i="3"/>
  <c r="C119" i="3"/>
  <c r="K118" i="3"/>
  <c r="J118" i="3"/>
  <c r="I118" i="3"/>
  <c r="H118" i="3"/>
  <c r="G118" i="3"/>
  <c r="F118" i="3"/>
  <c r="E118" i="3"/>
  <c r="D118" i="3"/>
  <c r="C118" i="3"/>
  <c r="K114" i="3"/>
  <c r="J114" i="3"/>
  <c r="I114" i="3"/>
  <c r="H114" i="3"/>
  <c r="G114" i="3"/>
  <c r="F114" i="3"/>
  <c r="E114" i="3"/>
  <c r="D114" i="3"/>
  <c r="C114" i="3"/>
  <c r="K113" i="3"/>
  <c r="J113" i="3"/>
  <c r="I113" i="3"/>
  <c r="H113" i="3"/>
  <c r="G113" i="3"/>
  <c r="F113" i="3"/>
  <c r="E113" i="3"/>
  <c r="D113" i="3"/>
  <c r="C113" i="3"/>
  <c r="K112" i="3"/>
  <c r="J112" i="3"/>
  <c r="I112" i="3"/>
  <c r="H112" i="3"/>
  <c r="G112" i="3"/>
  <c r="F112" i="3"/>
  <c r="E112" i="3"/>
  <c r="D112" i="3"/>
  <c r="C112" i="3"/>
  <c r="K111" i="3"/>
  <c r="J111" i="3"/>
  <c r="I111" i="3"/>
  <c r="H111" i="3"/>
  <c r="G111" i="3"/>
  <c r="F111" i="3"/>
  <c r="E111" i="3"/>
  <c r="D111" i="3"/>
  <c r="C111" i="3"/>
  <c r="K110" i="3"/>
  <c r="J110" i="3"/>
  <c r="I110" i="3"/>
  <c r="H110" i="3"/>
  <c r="G110" i="3"/>
  <c r="F110" i="3"/>
  <c r="E110" i="3"/>
  <c r="D110" i="3"/>
  <c r="C110" i="3"/>
  <c r="K105" i="3"/>
  <c r="J105" i="3"/>
  <c r="I105" i="3"/>
  <c r="H105" i="3"/>
  <c r="G105" i="3"/>
  <c r="F105" i="3"/>
  <c r="E105" i="3"/>
  <c r="D105" i="3"/>
  <c r="C105" i="3"/>
  <c r="K104" i="3"/>
  <c r="J104" i="3"/>
  <c r="I104" i="3"/>
  <c r="H104" i="3"/>
  <c r="G104" i="3"/>
  <c r="F104" i="3"/>
  <c r="E104" i="3"/>
  <c r="D104" i="3"/>
  <c r="C104" i="3"/>
  <c r="K103" i="3"/>
  <c r="J103" i="3"/>
  <c r="I103" i="3"/>
  <c r="H103" i="3"/>
  <c r="G103" i="3"/>
  <c r="F103" i="3"/>
  <c r="E103" i="3"/>
  <c r="D103" i="3"/>
  <c r="C103" i="3"/>
  <c r="K102" i="3"/>
  <c r="J102" i="3"/>
  <c r="I102" i="3"/>
  <c r="H102" i="3"/>
  <c r="G102" i="3"/>
  <c r="F102" i="3"/>
  <c r="E102" i="3"/>
  <c r="D102" i="3"/>
  <c r="C102" i="3"/>
  <c r="K101" i="3"/>
  <c r="J101" i="3"/>
  <c r="I101" i="3"/>
  <c r="H101" i="3"/>
  <c r="G101" i="3"/>
  <c r="F101" i="3"/>
  <c r="E101" i="3"/>
  <c r="D101" i="3"/>
  <c r="C101" i="3"/>
  <c r="K100" i="3"/>
  <c r="J100" i="3"/>
  <c r="I100" i="3"/>
  <c r="H100" i="3"/>
  <c r="G100" i="3"/>
  <c r="F100" i="3"/>
  <c r="E100" i="3"/>
  <c r="D100" i="3"/>
  <c r="C100" i="3"/>
  <c r="K99" i="3"/>
  <c r="J99" i="3"/>
  <c r="I99" i="3"/>
  <c r="H99" i="3"/>
  <c r="G99" i="3"/>
  <c r="F99" i="3"/>
  <c r="E99" i="3"/>
  <c r="D99" i="3"/>
  <c r="C99" i="3"/>
  <c r="K98" i="3"/>
  <c r="J98" i="3"/>
  <c r="I98" i="3"/>
  <c r="H98" i="3"/>
  <c r="G98" i="3"/>
  <c r="F98" i="3"/>
  <c r="E98" i="3"/>
  <c r="D98" i="3"/>
  <c r="C98" i="3"/>
  <c r="K97" i="3"/>
  <c r="J97" i="3"/>
  <c r="I97" i="3"/>
  <c r="H97" i="3"/>
  <c r="G97" i="3"/>
  <c r="F97" i="3"/>
  <c r="E97" i="3"/>
  <c r="D97" i="3"/>
  <c r="C97" i="3"/>
  <c r="K96" i="3"/>
  <c r="I96" i="3"/>
  <c r="I137" i="3" s="1"/>
  <c r="H96" i="3"/>
  <c r="G96" i="3"/>
  <c r="I91" i="3"/>
  <c r="H91" i="3"/>
  <c r="G91" i="3"/>
  <c r="F91" i="3"/>
  <c r="E91" i="3"/>
  <c r="K89" i="3"/>
  <c r="K91" i="3" s="1"/>
  <c r="J89" i="3"/>
  <c r="J91" i="3" s="1"/>
  <c r="I89" i="3"/>
  <c r="H89" i="3"/>
  <c r="G89" i="3"/>
  <c r="F89" i="3"/>
  <c r="F96" i="3" s="1"/>
  <c r="E89" i="3"/>
  <c r="E96" i="3" s="1"/>
  <c r="D89" i="3"/>
  <c r="D96" i="3" s="1"/>
  <c r="C89" i="3"/>
  <c r="C96" i="3" s="1"/>
  <c r="B89" i="3"/>
  <c r="B91" i="3" s="1"/>
  <c r="K74" i="3"/>
  <c r="K77" i="3" s="1"/>
  <c r="K82" i="3" s="1"/>
  <c r="J74" i="3"/>
  <c r="J77" i="3" s="1"/>
  <c r="J82" i="3" s="1"/>
  <c r="I74" i="3"/>
  <c r="I77" i="3" s="1"/>
  <c r="I82" i="3" s="1"/>
  <c r="K71" i="3"/>
  <c r="J71" i="3"/>
  <c r="I71" i="3"/>
  <c r="H71" i="3"/>
  <c r="H74" i="3" s="1"/>
  <c r="H77" i="3" s="1"/>
  <c r="H82" i="3" s="1"/>
  <c r="G71" i="3"/>
  <c r="G74" i="3" s="1"/>
  <c r="G77" i="3" s="1"/>
  <c r="G82" i="3" s="1"/>
  <c r="F71" i="3"/>
  <c r="F74" i="3" s="1"/>
  <c r="F77" i="3" s="1"/>
  <c r="F82" i="3" s="1"/>
  <c r="E71" i="3"/>
  <c r="E74" i="3" s="1"/>
  <c r="E77" i="3" s="1"/>
  <c r="E82" i="3" s="1"/>
  <c r="D71" i="3"/>
  <c r="D74" i="3" s="1"/>
  <c r="D77" i="3" s="1"/>
  <c r="D82" i="3" s="1"/>
  <c r="C71" i="3"/>
  <c r="C74" i="3" s="1"/>
  <c r="C77" i="3" s="1"/>
  <c r="C82" i="3" s="1"/>
  <c r="B71" i="3"/>
  <c r="B74" i="3" s="1"/>
  <c r="B77" i="3" s="1"/>
  <c r="B82" i="3" s="1"/>
  <c r="K57" i="3"/>
  <c r="K60" i="3" s="1"/>
  <c r="J57" i="3"/>
  <c r="J60" i="3" s="1"/>
  <c r="I57" i="3"/>
  <c r="I60" i="3" s="1"/>
  <c r="I139" i="3" s="1"/>
  <c r="H57" i="3"/>
  <c r="H60" i="3" s="1"/>
  <c r="H139" i="3" s="1"/>
  <c r="G57" i="3"/>
  <c r="G60" i="3" s="1"/>
  <c r="G139" i="3" s="1"/>
  <c r="F57" i="3"/>
  <c r="F60" i="3" s="1"/>
  <c r="F139" i="3" s="1"/>
  <c r="E57" i="3"/>
  <c r="E60" i="3" s="1"/>
  <c r="F136" i="3" s="1"/>
  <c r="D57" i="3"/>
  <c r="C57" i="3"/>
  <c r="C60" i="3" s="1"/>
  <c r="B57" i="3"/>
  <c r="B60" i="3" s="1"/>
  <c r="K49" i="3"/>
  <c r="K41" i="3"/>
  <c r="J41" i="3"/>
  <c r="J49" i="3" s="1"/>
  <c r="I41" i="3"/>
  <c r="I49" i="3" s="1"/>
  <c r="H41" i="3"/>
  <c r="H49" i="3" s="1"/>
  <c r="G41" i="3"/>
  <c r="G49" i="3" s="1"/>
  <c r="F41" i="3"/>
  <c r="F49" i="3" s="1"/>
  <c r="E41" i="3"/>
  <c r="E49" i="3" s="1"/>
  <c r="D41" i="3"/>
  <c r="D49" i="3" s="1"/>
  <c r="C41" i="3"/>
  <c r="C49" i="3" s="1"/>
  <c r="B41" i="3"/>
  <c r="B49" i="3" s="1"/>
  <c r="K23" i="3"/>
  <c r="K134" i="3" s="1"/>
  <c r="J23" i="3"/>
  <c r="J134" i="3" s="1"/>
  <c r="J133" i="3" s="1"/>
  <c r="J109" i="3" s="1"/>
  <c r="I23" i="3"/>
  <c r="J131" i="3" s="1"/>
  <c r="H23" i="3"/>
  <c r="I131" i="3" s="1"/>
  <c r="G23" i="3"/>
  <c r="F23" i="3"/>
  <c r="E23" i="3"/>
  <c r="D23" i="3"/>
  <c r="E131" i="3" s="1"/>
  <c r="C23" i="3"/>
  <c r="B23" i="3"/>
  <c r="B18" i="3"/>
  <c r="F62" i="5" l="1"/>
  <c r="J133" i="5"/>
  <c r="J109" i="5" s="1"/>
  <c r="J115" i="5" s="1"/>
  <c r="K106" i="5"/>
  <c r="G106" i="5"/>
  <c r="H106" i="5"/>
  <c r="B31" i="5"/>
  <c r="C106" i="5"/>
  <c r="C137" i="5"/>
  <c r="J139" i="5"/>
  <c r="K136" i="5"/>
  <c r="J62" i="5"/>
  <c r="H138" i="5"/>
  <c r="H123" i="5" s="1"/>
  <c r="H124" i="5" s="1"/>
  <c r="E106" i="5"/>
  <c r="E137" i="5"/>
  <c r="D106" i="5"/>
  <c r="D137" i="5"/>
  <c r="F106" i="5"/>
  <c r="F137" i="5"/>
  <c r="F138" i="5" s="1"/>
  <c r="F123" i="5" s="1"/>
  <c r="F124" i="5" s="1"/>
  <c r="K139" i="5"/>
  <c r="K62" i="5"/>
  <c r="K131" i="5"/>
  <c r="K133" i="5" s="1"/>
  <c r="K109" i="5" s="1"/>
  <c r="K115" i="5" s="1"/>
  <c r="G136" i="5"/>
  <c r="G138" i="5" s="1"/>
  <c r="G123" i="5" s="1"/>
  <c r="G124" i="5" s="1"/>
  <c r="H136" i="5"/>
  <c r="I136" i="5"/>
  <c r="I138" i="5" s="1"/>
  <c r="I123" i="5" s="1"/>
  <c r="I124" i="5" s="1"/>
  <c r="J96" i="5"/>
  <c r="C134" i="5"/>
  <c r="J136" i="5"/>
  <c r="D134" i="5"/>
  <c r="D133" i="5" s="1"/>
  <c r="D109" i="5" s="1"/>
  <c r="D115" i="5" s="1"/>
  <c r="E134" i="5"/>
  <c r="E133" i="5" s="1"/>
  <c r="E109" i="5" s="1"/>
  <c r="E115" i="5" s="1"/>
  <c r="F134" i="5"/>
  <c r="F133" i="5" s="1"/>
  <c r="F109" i="5" s="1"/>
  <c r="F115" i="5" s="1"/>
  <c r="G134" i="5"/>
  <c r="G133" i="5" s="1"/>
  <c r="G109" i="5" s="1"/>
  <c r="G115" i="5" s="1"/>
  <c r="C139" i="5"/>
  <c r="C138" i="5" s="1"/>
  <c r="C123" i="5" s="1"/>
  <c r="C124" i="5" s="1"/>
  <c r="C131" i="5"/>
  <c r="H134" i="5"/>
  <c r="D139" i="5"/>
  <c r="I134" i="5"/>
  <c r="I133" i="5" s="1"/>
  <c r="I109" i="5" s="1"/>
  <c r="I115" i="5" s="1"/>
  <c r="G137" i="5"/>
  <c r="E139" i="5"/>
  <c r="E131" i="5"/>
  <c r="H137" i="5"/>
  <c r="B62" i="5"/>
  <c r="B63" i="5" s="1"/>
  <c r="I106" i="5"/>
  <c r="G131" i="5"/>
  <c r="F131" i="5"/>
  <c r="C62" i="5"/>
  <c r="H131" i="5"/>
  <c r="K137" i="5"/>
  <c r="D62" i="5"/>
  <c r="E62" i="5"/>
  <c r="C91" i="3"/>
  <c r="D91" i="3"/>
  <c r="D136" i="3"/>
  <c r="D60" i="3"/>
  <c r="E136" i="3" s="1"/>
  <c r="F62" i="3"/>
  <c r="H62" i="3"/>
  <c r="G62" i="3"/>
  <c r="I62" i="3"/>
  <c r="J136" i="3"/>
  <c r="J115" i="3"/>
  <c r="K133" i="3"/>
  <c r="K109" i="3" s="1"/>
  <c r="K115" i="3" s="1"/>
  <c r="G106" i="3"/>
  <c r="H106" i="3"/>
  <c r="K106" i="3"/>
  <c r="B31" i="3"/>
  <c r="F106" i="3"/>
  <c r="F137" i="3"/>
  <c r="F138" i="3" s="1"/>
  <c r="F123" i="3" s="1"/>
  <c r="F124" i="3" s="1"/>
  <c r="J139" i="3"/>
  <c r="J62" i="3"/>
  <c r="K136" i="3"/>
  <c r="B62" i="3"/>
  <c r="B63" i="3" s="1"/>
  <c r="C106" i="3"/>
  <c r="C137" i="3"/>
  <c r="K139" i="3"/>
  <c r="K62" i="3"/>
  <c r="D106" i="3"/>
  <c r="D137" i="3"/>
  <c r="E106" i="3"/>
  <c r="E137" i="3"/>
  <c r="G136" i="3"/>
  <c r="H136" i="3"/>
  <c r="H138" i="3" s="1"/>
  <c r="H123" i="3" s="1"/>
  <c r="H124" i="3" s="1"/>
  <c r="I136" i="3"/>
  <c r="I138" i="3" s="1"/>
  <c r="I123" i="3" s="1"/>
  <c r="I124" i="3" s="1"/>
  <c r="J96" i="3"/>
  <c r="C134" i="3"/>
  <c r="D134" i="3"/>
  <c r="D133" i="3" s="1"/>
  <c r="D109" i="3" s="1"/>
  <c r="D115" i="3" s="1"/>
  <c r="E134" i="3"/>
  <c r="E133" i="3" s="1"/>
  <c r="E109" i="3" s="1"/>
  <c r="E115" i="3" s="1"/>
  <c r="F134" i="3"/>
  <c r="F133" i="3" s="1"/>
  <c r="F109" i="3" s="1"/>
  <c r="F115" i="3" s="1"/>
  <c r="G134" i="3"/>
  <c r="G133" i="3" s="1"/>
  <c r="G109" i="3" s="1"/>
  <c r="G115" i="3" s="1"/>
  <c r="C139" i="3"/>
  <c r="C131" i="3"/>
  <c r="D139" i="3"/>
  <c r="I134" i="3"/>
  <c r="I133" i="3" s="1"/>
  <c r="I109" i="3" s="1"/>
  <c r="I115" i="3" s="1"/>
  <c r="I106" i="3"/>
  <c r="G131" i="3"/>
  <c r="C136" i="3"/>
  <c r="H134" i="3"/>
  <c r="D131" i="3"/>
  <c r="G137" i="3"/>
  <c r="F131" i="3"/>
  <c r="C62" i="3"/>
  <c r="H131" i="3"/>
  <c r="K137" i="3"/>
  <c r="E139" i="3"/>
  <c r="H137" i="3"/>
  <c r="D62" i="3"/>
  <c r="E62" i="3"/>
  <c r="K138" i="5" l="1"/>
  <c r="K123" i="5" s="1"/>
  <c r="K124" i="5" s="1"/>
  <c r="K127" i="5" s="1"/>
  <c r="F127" i="5"/>
  <c r="G127" i="5"/>
  <c r="I127" i="5"/>
  <c r="C133" i="5"/>
  <c r="C109" i="5" s="1"/>
  <c r="C115" i="5" s="1"/>
  <c r="C127" i="5" s="1"/>
  <c r="C12" i="5" s="1"/>
  <c r="J106" i="5"/>
  <c r="J137" i="5"/>
  <c r="J138" i="5" s="1"/>
  <c r="J123" i="5" s="1"/>
  <c r="J124" i="5" s="1"/>
  <c r="J127" i="5" s="1"/>
  <c r="E138" i="5"/>
  <c r="E123" i="5" s="1"/>
  <c r="E124" i="5" s="1"/>
  <c r="E127" i="5" s="1"/>
  <c r="D138" i="5"/>
  <c r="D123" i="5" s="1"/>
  <c r="D124" i="5" s="1"/>
  <c r="D127" i="5" s="1"/>
  <c r="H133" i="5"/>
  <c r="H109" i="5" s="1"/>
  <c r="H115" i="5" s="1"/>
  <c r="H127" i="5" s="1"/>
  <c r="D138" i="3"/>
  <c r="D123" i="3" s="1"/>
  <c r="D124" i="3" s="1"/>
  <c r="D127" i="3" s="1"/>
  <c r="G138" i="3"/>
  <c r="G123" i="3" s="1"/>
  <c r="G124" i="3" s="1"/>
  <c r="G127" i="3" s="1"/>
  <c r="C138" i="3"/>
  <c r="C123" i="3" s="1"/>
  <c r="C124" i="3" s="1"/>
  <c r="F127" i="3"/>
  <c r="E138" i="3"/>
  <c r="E123" i="3" s="1"/>
  <c r="E124" i="3" s="1"/>
  <c r="E127" i="3" s="1"/>
  <c r="I127" i="3"/>
  <c r="C133" i="3"/>
  <c r="C109" i="3" s="1"/>
  <c r="C115" i="3" s="1"/>
  <c r="J106" i="3"/>
  <c r="J137" i="3"/>
  <c r="H133" i="3"/>
  <c r="H109" i="3" s="1"/>
  <c r="H115" i="3" s="1"/>
  <c r="H127" i="3" s="1"/>
  <c r="K138" i="3"/>
  <c r="K123" i="3" s="1"/>
  <c r="K124" i="3" s="1"/>
  <c r="K127" i="3" s="1"/>
  <c r="J138" i="3"/>
  <c r="J123" i="3" s="1"/>
  <c r="J124" i="3" s="1"/>
  <c r="C128" i="5" l="1"/>
  <c r="D126" i="5"/>
  <c r="D12" i="5"/>
  <c r="C18" i="5"/>
  <c r="C31" i="5" s="1"/>
  <c r="C63" i="5" s="1"/>
  <c r="J127" i="3"/>
  <c r="C127" i="3"/>
  <c r="C12" i="3" s="1"/>
  <c r="C128" i="3" s="1"/>
  <c r="E126" i="5" l="1"/>
  <c r="E12" i="5"/>
  <c r="D18" i="5"/>
  <c r="D31" i="5" s="1"/>
  <c r="D63" i="5" s="1"/>
  <c r="D128" i="5"/>
  <c r="C18" i="3"/>
  <c r="C31" i="3" s="1"/>
  <c r="C63" i="3" s="1"/>
  <c r="D12" i="3"/>
  <c r="E126" i="3" s="1"/>
  <c r="D126" i="3"/>
  <c r="E18" i="5" l="1"/>
  <c r="E31" i="5" s="1"/>
  <c r="E63" i="5" s="1"/>
  <c r="E128" i="5"/>
  <c r="F12" i="5"/>
  <c r="F126" i="5"/>
  <c r="E12" i="3"/>
  <c r="D128" i="3"/>
  <c r="D18" i="3"/>
  <c r="D31" i="3" s="1"/>
  <c r="D63" i="3" s="1"/>
  <c r="E18" i="3"/>
  <c r="E31" i="3" s="1"/>
  <c r="E63" i="3" s="1"/>
  <c r="F12" i="3"/>
  <c r="E128" i="3"/>
  <c r="F126" i="3"/>
  <c r="F18" i="5" l="1"/>
  <c r="F31" i="5" s="1"/>
  <c r="F63" i="5" s="1"/>
  <c r="F128" i="5"/>
  <c r="G126" i="5"/>
  <c r="G12" i="5"/>
  <c r="F18" i="3"/>
  <c r="F31" i="3" s="1"/>
  <c r="F63" i="3" s="1"/>
  <c r="G12" i="3"/>
  <c r="F128" i="3"/>
  <c r="G126" i="3"/>
  <c r="G18" i="5" l="1"/>
  <c r="G31" i="5" s="1"/>
  <c r="G63" i="5" s="1"/>
  <c r="G128" i="5"/>
  <c r="H126" i="5"/>
  <c r="H12" i="5"/>
  <c r="G18" i="3"/>
  <c r="G31" i="3" s="1"/>
  <c r="G63" i="3" s="1"/>
  <c r="H12" i="3"/>
  <c r="G128" i="3"/>
  <c r="H126" i="3"/>
  <c r="I12" i="5" l="1"/>
  <c r="H18" i="5"/>
  <c r="H31" i="5" s="1"/>
  <c r="H63" i="5" s="1"/>
  <c r="H128" i="5"/>
  <c r="I126" i="5"/>
  <c r="I12" i="3"/>
  <c r="H18" i="3"/>
  <c r="H31" i="3" s="1"/>
  <c r="H63" i="3" s="1"/>
  <c r="H128" i="3"/>
  <c r="I126" i="3"/>
  <c r="I18" i="5" l="1"/>
  <c r="I31" i="5" s="1"/>
  <c r="I63" i="5" s="1"/>
  <c r="J12" i="5"/>
  <c r="I128" i="5"/>
  <c r="J126" i="5"/>
  <c r="I18" i="3"/>
  <c r="I31" i="3" s="1"/>
  <c r="I63" i="3" s="1"/>
  <c r="J12" i="3"/>
  <c r="I128" i="3"/>
  <c r="J126" i="3"/>
  <c r="J18" i="5" l="1"/>
  <c r="J31" i="5" s="1"/>
  <c r="J63" i="5" s="1"/>
  <c r="K12" i="5"/>
  <c r="J128" i="5"/>
  <c r="K126" i="5"/>
  <c r="J18" i="3"/>
  <c r="J31" i="3" s="1"/>
  <c r="J63" i="3" s="1"/>
  <c r="K12" i="3"/>
  <c r="J128" i="3"/>
  <c r="K126" i="3"/>
  <c r="K18" i="5" l="1"/>
  <c r="K31" i="5" s="1"/>
  <c r="K63" i="5" s="1"/>
  <c r="K128" i="5"/>
  <c r="K18" i="3"/>
  <c r="K31" i="3" s="1"/>
  <c r="K63" i="3" s="1"/>
  <c r="K128" i="3"/>
</calcChain>
</file>

<file path=xl/sharedStrings.xml><?xml version="1.0" encoding="utf-8"?>
<sst xmlns="http://schemas.openxmlformats.org/spreadsheetml/2006/main" count="328" uniqueCount="130">
  <si>
    <t>NAME:</t>
  </si>
  <si>
    <t>DISNEY (WALT) CO</t>
  </si>
  <si>
    <t>TICKER SYMBOL:</t>
  </si>
  <si>
    <t>DIS</t>
  </si>
  <si>
    <t>PRIMARY SIC CODE:</t>
  </si>
  <si>
    <t>4888</t>
  </si>
  <si>
    <t>STOCK EXCHANGE:</t>
  </si>
  <si>
    <t>11</t>
  </si>
  <si>
    <t>New York Stock Exchange</t>
  </si>
  <si>
    <t>CUSIP:</t>
  </si>
  <si>
    <t>254687</t>
  </si>
  <si>
    <t>Fiscal Year:</t>
  </si>
  <si>
    <t xml:space="preserve">2010 </t>
  </si>
  <si>
    <t xml:space="preserve">2011 </t>
  </si>
  <si>
    <t xml:space="preserve">2012 </t>
  </si>
  <si>
    <t xml:space="preserve">2013 </t>
  </si>
  <si>
    <t xml:space="preserve">2014 </t>
  </si>
  <si>
    <t xml:space="preserve">2015 </t>
  </si>
  <si>
    <t xml:space="preserve">2016 </t>
  </si>
  <si>
    <t xml:space="preserve">2017 </t>
  </si>
  <si>
    <t xml:space="preserve">2018 </t>
  </si>
  <si>
    <t xml:space="preserve">2019 </t>
  </si>
  <si>
    <t>(FYR Ending):</t>
  </si>
  <si>
    <t>(30SEP2010 )</t>
  </si>
  <si>
    <t>(30SEP2011 )</t>
  </si>
  <si>
    <t>(30SEP2012 )</t>
  </si>
  <si>
    <t>(30SEP2013 )</t>
  </si>
  <si>
    <t>(30SEP2014 )</t>
  </si>
  <si>
    <t>(30SEP2015 )</t>
  </si>
  <si>
    <t>(30SEP2016 )</t>
  </si>
  <si>
    <t>(30SEP2017 )</t>
  </si>
  <si>
    <t>(30SEP2018 )</t>
  </si>
  <si>
    <t>(30SEP2019 )</t>
  </si>
  <si>
    <t>ASSETS</t>
  </si>
  <si>
    <t>    Cash &amp; Equivalents</t>
  </si>
  <si>
    <t>    Receivables - Total (Net)</t>
  </si>
  <si>
    <t>    Inventories - Total</t>
  </si>
  <si>
    <t>    Prepaid Expenses</t>
  </si>
  <si>
    <t>    Current Assets - Other</t>
  </si>
  <si>
    <t>Current Assets - Total</t>
  </si>
  <si>
    <t>    Plant, Property &amp; Equip (Gross)</t>
  </si>
  <si>
    <t>    Accumulated Depreciation</t>
  </si>
  <si>
    <t>Plant, Property &amp; Equip (Net)</t>
  </si>
  <si>
    <t>    Investments at Equity</t>
  </si>
  <si>
    <t>    Investments and Advances - Other</t>
  </si>
  <si>
    <t>    Intangibles</t>
  </si>
  <si>
    <t>    Deferred Charges</t>
  </si>
  <si>
    <t>    Assets - Other</t>
  </si>
  <si>
    <t>TOTAL ASSETS</t>
  </si>
  <si>
    <t>LIABILITIES</t>
  </si>
  <si>
    <t>    Accounts Payable</t>
  </si>
  <si>
    <t>    Notes Payable</t>
  </si>
  <si>
    <t>    Accrued Expenses</t>
  </si>
  <si>
    <t>    Taxes Payable</t>
  </si>
  <si>
    <t>    Debt (Long-Term) Due In One Year</t>
  </si>
  <si>
    <t>    Other Current Liabilities</t>
  </si>
  <si>
    <t>Total Current Liabilities</t>
  </si>
  <si>
    <t>    Long Term Debt</t>
  </si>
  <si>
    <t>    Deferred Taxes (Balance Sheet)</t>
  </si>
  <si>
    <t>    Investment Tax Credit</t>
  </si>
  <si>
    <t>    Liabilities - Other</t>
  </si>
  <si>
    <t>    Noncontrolling Interest - Redeemable</t>
  </si>
  <si>
    <t>TOTAL LIABILITIES</t>
  </si>
  <si>
    <t>SHAREHOLDERS' EQUITY</t>
  </si>
  <si>
    <t>    Preferred Stock</t>
  </si>
  <si>
    <t>    Common Stock</t>
  </si>
  <si>
    <t>    Capital Surplus</t>
  </si>
  <si>
    <t>    Retained Earnings (Net Other)</t>
  </si>
  <si>
    <t>    Less: Treasury Stock</t>
  </si>
  <si>
    <t>Shareholders Equity - Parent</t>
  </si>
  <si>
    <t>Noncontrolling Interest - Nonredeemable</t>
  </si>
  <si>
    <t>TOTAL SHAREHOLDERS EQUITY</t>
  </si>
  <si>
    <t>TOTAL LIABILITIES AND EQUITY</t>
  </si>
  <si>
    <t>INCOME STATEMENT</t>
  </si>
  <si>
    <t>Sales (Net)</t>
  </si>
  <si>
    <t>    Cost of Goods Sold</t>
  </si>
  <si>
    <t>Gross Profit</t>
  </si>
  <si>
    <t>    Selling, General, &amp; Admin Expenses</t>
  </si>
  <si>
    <t>Operating Income Before Depreciation</t>
  </si>
  <si>
    <t>    Depreciation, Depletion, &amp; Amortiz</t>
  </si>
  <si>
    <t>Operating Income After Depreciation</t>
  </si>
  <si>
    <t>    Interest Expense</t>
  </si>
  <si>
    <t>    Non-Operating Income/Expense</t>
  </si>
  <si>
    <t>    Special Items</t>
  </si>
  <si>
    <t>Pretax Income</t>
  </si>
  <si>
    <t>    Income Taxes - Total</t>
  </si>
  <si>
    <t>    Minority Interest</t>
  </si>
  <si>
    <t>Income Before EI&amp;DO</t>
  </si>
  <si>
    <t>    Extraordinary Items</t>
  </si>
  <si>
    <t>    Discontinued Operations</t>
  </si>
  <si>
    <t>Net Income (Loss)</t>
  </si>
  <si>
    <t>Net Income</t>
  </si>
  <si>
    <t>INVESTING ACTIVITIES</t>
  </si>
  <si>
    <t>Capital Expenditures</t>
  </si>
  <si>
    <t>FINANCING ACTIVITIES</t>
  </si>
  <si>
    <t>(31DEC2010 )</t>
  </si>
  <si>
    <t>(31DEC2011 )</t>
  </si>
  <si>
    <t>(31DEC2012 )</t>
  </si>
  <si>
    <t>(31DEC2013 )</t>
  </si>
  <si>
    <t>(31DEC2014 )</t>
  </si>
  <si>
    <t>(31DEC2015 )</t>
  </si>
  <si>
    <t>(31DEC2016 )</t>
  </si>
  <si>
    <t>(31DEC2017 )</t>
  </si>
  <si>
    <t>(31DEC2018 )</t>
  </si>
  <si>
    <t>(31DEC2019 )</t>
  </si>
  <si>
    <t>Statement of Cash Flows</t>
  </si>
  <si>
    <t>OPERATING ACTIVITIES</t>
  </si>
  <si>
    <t xml:space="preserve"> </t>
  </si>
  <si>
    <t>Depreciation</t>
  </si>
  <si>
    <t>Cash from Operations (A)</t>
  </si>
  <si>
    <t>Capital Expenditures (purchase of PP&amp;E)</t>
  </si>
  <si>
    <t>Cash used for Investing (B)</t>
  </si>
  <si>
    <t xml:space="preserve">   Debt Increase / (decrease) (Current LT Debt &amp; NP)</t>
  </si>
  <si>
    <t xml:space="preserve">   Sale of Equity / (Dividends &amp; Buybacks)</t>
  </si>
  <si>
    <t xml:space="preserve">Cash flow from (used for) Financing (C) </t>
  </si>
  <si>
    <t>CASH &amp; CASH EQUIVALENTS - BEGINNING</t>
  </si>
  <si>
    <t>NET INCR (DECR) IN CASH &amp; EQUIVALENTS ( = Sum of A + B + C)</t>
  </si>
  <si>
    <t>CASH &amp; CASH EQUIVALENTS - ENDING</t>
  </si>
  <si>
    <t xml:space="preserve">  </t>
  </si>
  <si>
    <t>PPE Beginning Balance</t>
  </si>
  <si>
    <t>PPE Ending Balance</t>
  </si>
  <si>
    <t>Equity Beginning Balance</t>
  </si>
  <si>
    <t>Equity Issuances / (dividends &amp; Buybacks)</t>
  </si>
  <si>
    <t>Equity Ending Balance</t>
  </si>
  <si>
    <t>COMCAST CORP</t>
  </si>
  <si>
    <t>CMCSA</t>
  </si>
  <si>
    <t>4841</t>
  </si>
  <si>
    <t>14</t>
  </si>
  <si>
    <t>NASDAQ-NMS Stock Market</t>
  </si>
  <si>
    <t>20030N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</si>
</sst>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8" formatCode="#,###,###.000"/>
    <numFmt numFmtId="169" formatCode="_(* #,##0_);_(* \(#,##0\);_(* &quot;-&quot;??_);_(@_)"/>
    <numFmt numFmtId="173" formatCode="#,###,###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8"/>
      <color rgb="FF000000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168" fontId="18" fillId="0" borderId="0" xfId="0" applyNumberFormat="1" applyFont="1" applyAlignment="1">
      <alignment horizontal="right" wrapText="1"/>
    </xf>
    <xf numFmtId="168" fontId="18" fillId="0" borderId="0" xfId="0" applyNumberFormat="1" applyFont="1" applyAlignment="1">
      <alignment wrapText="1"/>
    </xf>
    <xf numFmtId="168" fontId="18" fillId="0" borderId="0" xfId="0" applyNumberFormat="1" applyFont="1" applyAlignment="1">
      <alignment horizontal="center" wrapText="1"/>
    </xf>
    <xf numFmtId="168" fontId="19" fillId="0" borderId="0" xfId="0" applyNumberFormat="1" applyFont="1" applyAlignment="1">
      <alignment horizontal="center" wrapText="1"/>
    </xf>
    <xf numFmtId="168" fontId="18" fillId="0" borderId="0" xfId="0" applyNumberFormat="1" applyFont="1" applyAlignment="1">
      <alignment wrapText="1"/>
    </xf>
    <xf numFmtId="169" fontId="18" fillId="0" borderId="0" xfId="1" applyNumberFormat="1" applyFont="1" applyAlignment="1">
      <alignment horizontal="right" wrapText="1"/>
    </xf>
    <xf numFmtId="169" fontId="18" fillId="33" borderId="0" xfId="1" applyNumberFormat="1" applyFont="1" applyFill="1" applyAlignment="1">
      <alignment horizontal="right" wrapText="1"/>
    </xf>
    <xf numFmtId="168" fontId="18" fillId="34" borderId="0" xfId="0" applyNumberFormat="1" applyFont="1" applyFill="1" applyAlignment="1">
      <alignment wrapText="1"/>
    </xf>
    <xf numFmtId="169" fontId="1" fillId="0" borderId="0" xfId="1" applyNumberFormat="1" applyFont="1"/>
    <xf numFmtId="168" fontId="18" fillId="35" borderId="0" xfId="0" applyNumberFormat="1" applyFont="1" applyFill="1" applyAlignment="1">
      <alignment wrapText="1"/>
    </xf>
    <xf numFmtId="168" fontId="18" fillId="36" borderId="0" xfId="0" applyNumberFormat="1" applyFont="1" applyFill="1" applyAlignment="1">
      <alignment wrapText="1"/>
    </xf>
    <xf numFmtId="0" fontId="20" fillId="0" borderId="0" xfId="0" applyFont="1"/>
    <xf numFmtId="0" fontId="21" fillId="0" borderId="0" xfId="0" applyFont="1"/>
    <xf numFmtId="168" fontId="18" fillId="35" borderId="0" xfId="0" applyNumberFormat="1" applyFont="1" applyFill="1" applyAlignment="1">
      <alignment horizontal="left" wrapText="1" indent="1"/>
    </xf>
    <xf numFmtId="168" fontId="18" fillId="36" borderId="0" xfId="0" applyNumberFormat="1" applyFont="1" applyFill="1" applyAlignment="1">
      <alignment horizontal="left" wrapText="1"/>
    </xf>
    <xf numFmtId="169" fontId="18" fillId="35" borderId="0" xfId="1" applyNumberFormat="1" applyFont="1" applyFill="1" applyAlignment="1">
      <alignment horizontal="right" wrapText="1"/>
    </xf>
    <xf numFmtId="169" fontId="18" fillId="36" borderId="0" xfId="1" applyNumberFormat="1" applyFont="1" applyFill="1" applyAlignment="1">
      <alignment horizontal="right" wrapText="1"/>
    </xf>
    <xf numFmtId="169" fontId="18" fillId="0" borderId="0" xfId="1" applyNumberFormat="1" applyFont="1" applyAlignment="1">
      <alignment horizontal="center" wrapText="1"/>
    </xf>
    <xf numFmtId="173" fontId="18" fillId="0" borderId="0" xfId="0" applyNumberFormat="1" applyFont="1" applyAlignment="1">
      <alignment horizontal="right" wrapText="1"/>
    </xf>
    <xf numFmtId="173" fontId="18" fillId="0" borderId="0" xfId="0" applyNumberFormat="1" applyFont="1" applyAlignment="1">
      <alignment horizontal="center" wrapText="1"/>
    </xf>
    <xf numFmtId="173" fontId="22" fillId="0" borderId="0" xfId="0" applyNumberFormat="1" applyFont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9"/>
  <sheetViews>
    <sheetView topLeftCell="A56" workbookViewId="0">
      <selection activeCell="O25" sqref="O25"/>
    </sheetView>
  </sheetViews>
  <sheetFormatPr baseColWidth="10" defaultRowHeight="16" x14ac:dyDescent="0.2"/>
  <cols>
    <col min="1" max="1" width="19.33203125" customWidth="1"/>
  </cols>
  <sheetData>
    <row r="1" spans="1:11" x14ac:dyDescent="0.2">
      <c r="A1" s="1" t="s">
        <v>0</v>
      </c>
      <c r="B1" s="2"/>
      <c r="C1" s="5" t="s">
        <v>1</v>
      </c>
      <c r="D1" s="5"/>
      <c r="E1" s="5"/>
      <c r="F1" s="5"/>
      <c r="G1" s="5"/>
      <c r="H1" s="5"/>
    </row>
    <row r="2" spans="1:11" x14ac:dyDescent="0.2">
      <c r="A2" s="1" t="s">
        <v>2</v>
      </c>
      <c r="B2" s="2"/>
      <c r="C2" s="2" t="s">
        <v>3</v>
      </c>
    </row>
    <row r="3" spans="1:11" x14ac:dyDescent="0.2">
      <c r="A3" s="1" t="s">
        <v>4</v>
      </c>
      <c r="B3" s="2"/>
      <c r="C3" s="2" t="s">
        <v>5</v>
      </c>
    </row>
    <row r="4" spans="1:11" x14ac:dyDescent="0.2">
      <c r="A4" s="1" t="s">
        <v>6</v>
      </c>
      <c r="B4" s="2"/>
      <c r="C4" s="2" t="s">
        <v>7</v>
      </c>
      <c r="D4" s="5" t="s">
        <v>8</v>
      </c>
      <c r="E4" s="5"/>
      <c r="F4" s="5"/>
      <c r="G4" s="5"/>
      <c r="H4" s="5"/>
      <c r="I4" s="5"/>
    </row>
    <row r="5" spans="1:11" x14ac:dyDescent="0.2">
      <c r="A5" s="1" t="s">
        <v>9</v>
      </c>
      <c r="B5" s="2"/>
      <c r="C5" s="2" t="s">
        <v>10</v>
      </c>
      <c r="D5" s="5"/>
      <c r="E5" s="5"/>
      <c r="F5" s="5"/>
      <c r="G5" s="5"/>
      <c r="H5" s="5"/>
      <c r="I5" s="5"/>
    </row>
    <row r="9" spans="1:11" x14ac:dyDescent="0.2">
      <c r="A9" s="1" t="s">
        <v>11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18</v>
      </c>
      <c r="I9" s="4" t="s">
        <v>19</v>
      </c>
      <c r="J9" s="4" t="s">
        <v>20</v>
      </c>
      <c r="K9" s="4" t="s">
        <v>21</v>
      </c>
    </row>
    <row r="10" spans="1:11" x14ac:dyDescent="0.2">
      <c r="A10" s="1" t="s">
        <v>22</v>
      </c>
      <c r="B10" s="3" t="s">
        <v>23</v>
      </c>
      <c r="C10" s="3" t="s">
        <v>24</v>
      </c>
      <c r="D10" s="3" t="s">
        <v>25</v>
      </c>
      <c r="E10" s="3" t="s">
        <v>26</v>
      </c>
      <c r="F10" s="3" t="s">
        <v>27</v>
      </c>
      <c r="G10" s="3" t="s">
        <v>28</v>
      </c>
      <c r="H10" s="3" t="s">
        <v>29</v>
      </c>
      <c r="I10" s="3" t="s">
        <v>30</v>
      </c>
      <c r="J10" s="3" t="s">
        <v>31</v>
      </c>
      <c r="K10" s="3" t="s">
        <v>32</v>
      </c>
    </row>
    <row r="11" spans="1:11" x14ac:dyDescent="0.2">
      <c r="A11" s="2" t="s">
        <v>33</v>
      </c>
    </row>
    <row r="12" spans="1:11" x14ac:dyDescent="0.2">
      <c r="A12" s="2" t="s">
        <v>34</v>
      </c>
      <c r="B12" s="6">
        <v>2722</v>
      </c>
      <c r="C12" s="7">
        <f>B12+C127</f>
        <v>3185</v>
      </c>
      <c r="D12" s="7">
        <f t="shared" ref="D12:K12" si="0">C12+D127</f>
        <v>3387</v>
      </c>
      <c r="E12" s="7">
        <f t="shared" si="0"/>
        <v>3931</v>
      </c>
      <c r="F12" s="7">
        <f t="shared" si="0"/>
        <v>3421</v>
      </c>
      <c r="G12" s="7">
        <f t="shared" si="0"/>
        <v>4269</v>
      </c>
      <c r="H12" s="7">
        <f t="shared" si="0"/>
        <v>4610</v>
      </c>
      <c r="I12" s="7">
        <f t="shared" si="0"/>
        <v>4043</v>
      </c>
      <c r="J12" s="7">
        <f t="shared" si="0"/>
        <v>4151</v>
      </c>
      <c r="K12" s="7">
        <f t="shared" si="0"/>
        <v>5444</v>
      </c>
    </row>
    <row r="13" spans="1:11" x14ac:dyDescent="0.2">
      <c r="A13" s="8" t="s">
        <v>35</v>
      </c>
      <c r="B13" s="6">
        <v>5784</v>
      </c>
      <c r="C13" s="6">
        <v>6182</v>
      </c>
      <c r="D13" s="6">
        <v>6540</v>
      </c>
      <c r="E13" s="6">
        <v>6967</v>
      </c>
      <c r="F13" s="6">
        <v>7822</v>
      </c>
      <c r="G13" s="6">
        <v>8019</v>
      </c>
      <c r="H13" s="6">
        <v>9065</v>
      </c>
      <c r="I13" s="6">
        <v>8633</v>
      </c>
      <c r="J13" s="6">
        <v>9334</v>
      </c>
      <c r="K13" s="6">
        <v>15481</v>
      </c>
    </row>
    <row r="14" spans="1:11" x14ac:dyDescent="0.2">
      <c r="A14" s="8" t="s">
        <v>36</v>
      </c>
      <c r="B14" s="6">
        <v>2120</v>
      </c>
      <c r="C14" s="6">
        <v>2269</v>
      </c>
      <c r="D14" s="6">
        <v>2213</v>
      </c>
      <c r="E14" s="6">
        <v>2121</v>
      </c>
      <c r="F14" s="6">
        <v>2635</v>
      </c>
      <c r="G14" s="6">
        <v>2741</v>
      </c>
      <c r="H14" s="6">
        <v>2598</v>
      </c>
      <c r="I14" s="6">
        <v>2651</v>
      </c>
      <c r="J14" s="6">
        <v>2706</v>
      </c>
      <c r="K14" s="6">
        <v>6246</v>
      </c>
    </row>
    <row r="15" spans="1:11" x14ac:dyDescent="0.2">
      <c r="A15" s="8" t="s">
        <v>37</v>
      </c>
      <c r="B15" s="6">
        <v>446</v>
      </c>
      <c r="C15" s="6">
        <v>449</v>
      </c>
      <c r="D15" s="6">
        <v>469</v>
      </c>
      <c r="E15" s="6">
        <v>443</v>
      </c>
      <c r="F15" s="6">
        <v>425</v>
      </c>
      <c r="G15" s="6">
        <v>469</v>
      </c>
      <c r="H15" s="6">
        <v>449</v>
      </c>
      <c r="I15" s="6">
        <v>445</v>
      </c>
      <c r="J15" s="6">
        <v>476</v>
      </c>
      <c r="K15" s="6">
        <v>0</v>
      </c>
    </row>
    <row r="16" spans="1:11" x14ac:dyDescent="0.2">
      <c r="A16" s="8" t="s">
        <v>38</v>
      </c>
      <c r="B16" s="6">
        <v>1153</v>
      </c>
      <c r="C16" s="6">
        <v>1672</v>
      </c>
      <c r="D16" s="6">
        <v>1100</v>
      </c>
      <c r="E16" s="6">
        <v>647</v>
      </c>
      <c r="F16" s="6">
        <v>873</v>
      </c>
      <c r="G16" s="6">
        <v>1260</v>
      </c>
      <c r="H16" s="6">
        <v>244</v>
      </c>
      <c r="I16" s="6">
        <v>117</v>
      </c>
      <c r="J16" s="6">
        <v>158</v>
      </c>
      <c r="K16" s="6">
        <v>953</v>
      </c>
    </row>
    <row r="17" spans="1:11" x14ac:dyDescent="0.2"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1" ht="25" x14ac:dyDescent="0.2">
      <c r="A18" s="2" t="s">
        <v>39</v>
      </c>
      <c r="B18" s="6">
        <f>SUM(B12:B16)</f>
        <v>12225</v>
      </c>
      <c r="C18" s="6">
        <f t="shared" ref="C18:K18" si="1">SUM(C12:C16)</f>
        <v>13757</v>
      </c>
      <c r="D18" s="6">
        <f t="shared" si="1"/>
        <v>13709</v>
      </c>
      <c r="E18" s="6">
        <f t="shared" si="1"/>
        <v>14109</v>
      </c>
      <c r="F18" s="6">
        <f t="shared" si="1"/>
        <v>15176</v>
      </c>
      <c r="G18" s="6">
        <f t="shared" si="1"/>
        <v>16758</v>
      </c>
      <c r="H18" s="6">
        <f t="shared" si="1"/>
        <v>16966</v>
      </c>
      <c r="I18" s="6">
        <f t="shared" si="1"/>
        <v>15889</v>
      </c>
      <c r="J18" s="6">
        <f t="shared" si="1"/>
        <v>16825</v>
      </c>
      <c r="K18" s="6">
        <f t="shared" si="1"/>
        <v>28124</v>
      </c>
    </row>
    <row r="19" spans="1:11" x14ac:dyDescent="0.2">
      <c r="B19" s="9"/>
      <c r="C19" s="9"/>
      <c r="D19" s="9"/>
      <c r="E19" s="9"/>
      <c r="F19" s="9"/>
      <c r="G19" s="9"/>
      <c r="H19" s="9"/>
      <c r="I19" s="9"/>
      <c r="J19" s="9"/>
      <c r="K19" s="9"/>
    </row>
    <row r="20" spans="1:11" ht="25" x14ac:dyDescent="0.2">
      <c r="A20" s="2" t="s">
        <v>40</v>
      </c>
      <c r="B20" s="6">
        <v>36179</v>
      </c>
      <c r="C20" s="6">
        <v>39267</v>
      </c>
      <c r="D20" s="6">
        <v>42199</v>
      </c>
      <c r="E20" s="6">
        <v>44839</v>
      </c>
      <c r="F20" s="6">
        <v>47054</v>
      </c>
      <c r="G20" s="6">
        <v>50023</v>
      </c>
      <c r="H20" s="6">
        <v>54198</v>
      </c>
      <c r="I20" s="6">
        <v>57443</v>
      </c>
      <c r="J20" s="6">
        <v>60304</v>
      </c>
      <c r="K20" s="6">
        <v>64018</v>
      </c>
    </row>
    <row r="21" spans="1:11" x14ac:dyDescent="0.2">
      <c r="A21" s="2" t="s">
        <v>41</v>
      </c>
      <c r="B21" s="6">
        <v>18373</v>
      </c>
      <c r="C21" s="6">
        <v>19572</v>
      </c>
      <c r="D21" s="6">
        <v>20687</v>
      </c>
      <c r="E21" s="6">
        <v>22459</v>
      </c>
      <c r="F21" s="6">
        <v>23722</v>
      </c>
      <c r="G21" s="6">
        <v>24844</v>
      </c>
      <c r="H21" s="6">
        <v>26849</v>
      </c>
      <c r="I21" s="6">
        <v>29037</v>
      </c>
      <c r="J21" s="6">
        <v>30764</v>
      </c>
      <c r="K21" s="6">
        <v>32415</v>
      </c>
    </row>
    <row r="22" spans="1:11" x14ac:dyDescent="0.2"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1" ht="25" x14ac:dyDescent="0.2">
      <c r="A23" s="10" t="s">
        <v>42</v>
      </c>
      <c r="B23" s="6">
        <f>B20-B21</f>
        <v>17806</v>
      </c>
      <c r="C23" s="6">
        <f t="shared" ref="C23:K23" si="2">C20-C21</f>
        <v>19695</v>
      </c>
      <c r="D23" s="6">
        <f t="shared" si="2"/>
        <v>21512</v>
      </c>
      <c r="E23" s="6">
        <f t="shared" si="2"/>
        <v>22380</v>
      </c>
      <c r="F23" s="6">
        <f t="shared" si="2"/>
        <v>23332</v>
      </c>
      <c r="G23" s="6">
        <f t="shared" si="2"/>
        <v>25179</v>
      </c>
      <c r="H23" s="6">
        <f t="shared" si="2"/>
        <v>27349</v>
      </c>
      <c r="I23" s="6">
        <f t="shared" si="2"/>
        <v>28406</v>
      </c>
      <c r="J23" s="6">
        <f t="shared" si="2"/>
        <v>29540</v>
      </c>
      <c r="K23" s="6">
        <f t="shared" si="2"/>
        <v>31603</v>
      </c>
    </row>
    <row r="24" spans="1:11" x14ac:dyDescent="0.2">
      <c r="B24" s="9"/>
      <c r="C24" s="9"/>
      <c r="D24" s="9"/>
      <c r="E24" s="9"/>
      <c r="F24" s="9"/>
      <c r="G24" s="9"/>
      <c r="H24" s="9"/>
      <c r="I24" s="9"/>
      <c r="J24" s="9"/>
      <c r="K24" s="9"/>
    </row>
    <row r="25" spans="1:11" x14ac:dyDescent="0.2">
      <c r="A25" s="10" t="s">
        <v>43</v>
      </c>
      <c r="B25" s="6">
        <v>2123</v>
      </c>
      <c r="C25" s="6">
        <v>2052</v>
      </c>
      <c r="D25" s="6">
        <v>2438</v>
      </c>
      <c r="E25" s="6">
        <v>2407</v>
      </c>
      <c r="F25" s="6">
        <v>2476</v>
      </c>
      <c r="G25" s="6">
        <v>2483</v>
      </c>
      <c r="H25" s="6">
        <v>4082</v>
      </c>
      <c r="I25" s="6">
        <v>3087</v>
      </c>
      <c r="J25" s="6">
        <v>2768</v>
      </c>
      <c r="K25" s="6">
        <v>2922</v>
      </c>
    </row>
    <row r="26" spans="1:11" ht="25" x14ac:dyDescent="0.2">
      <c r="A26" s="10" t="s">
        <v>44</v>
      </c>
      <c r="B26" s="6">
        <v>1665</v>
      </c>
      <c r="C26" s="6">
        <v>2066</v>
      </c>
      <c r="D26" s="6">
        <v>1930</v>
      </c>
      <c r="E26" s="6">
        <v>1989</v>
      </c>
      <c r="F26" s="6">
        <v>1705</v>
      </c>
      <c r="G26" s="6">
        <v>1749</v>
      </c>
      <c r="H26" s="6">
        <v>1849</v>
      </c>
      <c r="I26" s="6">
        <v>1803</v>
      </c>
      <c r="J26" s="6">
        <v>2059</v>
      </c>
      <c r="K26" s="6">
        <v>2302</v>
      </c>
    </row>
    <row r="27" spans="1:11" x14ac:dyDescent="0.2">
      <c r="A27" s="10" t="s">
        <v>45</v>
      </c>
      <c r="B27" s="6">
        <v>29181</v>
      </c>
      <c r="C27" s="6">
        <v>29266</v>
      </c>
      <c r="D27" s="6">
        <v>30125</v>
      </c>
      <c r="E27" s="6">
        <v>34694</v>
      </c>
      <c r="F27" s="6">
        <v>35315</v>
      </c>
      <c r="G27" s="6">
        <v>34998</v>
      </c>
      <c r="H27" s="6">
        <v>34759</v>
      </c>
      <c r="I27" s="6">
        <v>38421</v>
      </c>
      <c r="J27" s="6">
        <v>38081</v>
      </c>
      <c r="K27" s="6">
        <v>103508</v>
      </c>
    </row>
    <row r="28" spans="1:11" x14ac:dyDescent="0.2">
      <c r="A28" s="10" t="s">
        <v>46</v>
      </c>
      <c r="B28" s="6">
        <v>127</v>
      </c>
      <c r="C28" s="6">
        <v>177</v>
      </c>
      <c r="D28" s="6">
        <v>194</v>
      </c>
      <c r="E28" s="6">
        <v>190</v>
      </c>
      <c r="F28" s="6">
        <v>212</v>
      </c>
      <c r="G28" s="6">
        <v>211</v>
      </c>
      <c r="H28" s="6">
        <v>229</v>
      </c>
      <c r="I28" s="6">
        <v>233</v>
      </c>
      <c r="J28" s="6">
        <v>919</v>
      </c>
      <c r="K28" s="6">
        <v>0</v>
      </c>
    </row>
    <row r="29" spans="1:11" x14ac:dyDescent="0.2">
      <c r="A29" s="10" t="s">
        <v>47</v>
      </c>
      <c r="B29" s="6">
        <v>6079</v>
      </c>
      <c r="C29" s="6">
        <v>5111</v>
      </c>
      <c r="D29" s="6">
        <v>4990</v>
      </c>
      <c r="E29" s="6">
        <v>5472</v>
      </c>
      <c r="F29" s="6">
        <v>5970</v>
      </c>
      <c r="G29" s="6">
        <v>6804</v>
      </c>
      <c r="H29" s="6">
        <v>6799</v>
      </c>
      <c r="I29" s="6">
        <v>7950</v>
      </c>
      <c r="J29" s="6">
        <v>8406</v>
      </c>
      <c r="K29" s="6">
        <v>25525</v>
      </c>
    </row>
    <row r="30" spans="1:11" x14ac:dyDescent="0.2">
      <c r="B30" s="9"/>
      <c r="C30" s="9"/>
      <c r="D30" s="9"/>
      <c r="E30" s="9"/>
      <c r="F30" s="9"/>
      <c r="G30" s="9"/>
      <c r="H30" s="9"/>
      <c r="I30" s="9"/>
      <c r="J30" s="9"/>
      <c r="K30" s="9"/>
    </row>
    <row r="31" spans="1:11" x14ac:dyDescent="0.2">
      <c r="A31" s="2" t="s">
        <v>48</v>
      </c>
      <c r="B31" s="6">
        <f>SUM(B25:B29)+B23+B18</f>
        <v>69206</v>
      </c>
      <c r="C31" s="6">
        <f t="shared" ref="C31:K31" si="3">SUM(C25:C29)+C23+C18</f>
        <v>72124</v>
      </c>
      <c r="D31" s="6">
        <f t="shared" si="3"/>
        <v>74898</v>
      </c>
      <c r="E31" s="6">
        <f t="shared" si="3"/>
        <v>81241</v>
      </c>
      <c r="F31" s="6">
        <f t="shared" si="3"/>
        <v>84186</v>
      </c>
      <c r="G31" s="6">
        <f t="shared" si="3"/>
        <v>88182</v>
      </c>
      <c r="H31" s="6">
        <f t="shared" si="3"/>
        <v>92033</v>
      </c>
      <c r="I31" s="6">
        <f t="shared" si="3"/>
        <v>95789</v>
      </c>
      <c r="J31" s="6">
        <f t="shared" si="3"/>
        <v>98598</v>
      </c>
      <c r="K31" s="6">
        <f t="shared" si="3"/>
        <v>193984</v>
      </c>
    </row>
    <row r="32" spans="1:11" x14ac:dyDescent="0.2">
      <c r="B32" s="9"/>
      <c r="C32" s="9"/>
      <c r="D32" s="9"/>
      <c r="E32" s="9"/>
      <c r="F32" s="9"/>
      <c r="G32" s="9"/>
      <c r="H32" s="9"/>
      <c r="I32" s="9"/>
      <c r="J32" s="9"/>
      <c r="K32" s="9"/>
    </row>
    <row r="33" spans="1:11" x14ac:dyDescent="0.2">
      <c r="A33" s="2" t="s">
        <v>49</v>
      </c>
      <c r="B33" s="9"/>
      <c r="C33" s="9"/>
      <c r="D33" s="9"/>
      <c r="E33" s="9"/>
      <c r="F33" s="9"/>
      <c r="G33" s="9"/>
      <c r="H33" s="9"/>
      <c r="I33" s="9"/>
      <c r="J33" s="9"/>
      <c r="K33" s="9"/>
    </row>
    <row r="34" spans="1:11" x14ac:dyDescent="0.2">
      <c r="A34" s="8" t="s">
        <v>50</v>
      </c>
      <c r="B34" s="6">
        <v>4413</v>
      </c>
      <c r="C34" s="6">
        <v>4546</v>
      </c>
      <c r="D34" s="6">
        <v>4619</v>
      </c>
      <c r="E34" s="6">
        <v>4899</v>
      </c>
      <c r="F34" s="6">
        <v>5371</v>
      </c>
      <c r="G34" s="6">
        <v>5504</v>
      </c>
      <c r="H34" s="6">
        <v>6860</v>
      </c>
      <c r="I34" s="6">
        <v>6490</v>
      </c>
      <c r="J34" s="6">
        <v>6503</v>
      </c>
      <c r="K34" s="6">
        <v>13778</v>
      </c>
    </row>
    <row r="35" spans="1:11" x14ac:dyDescent="0.2">
      <c r="A35" s="11" t="s">
        <v>51</v>
      </c>
      <c r="B35" s="6">
        <v>0</v>
      </c>
      <c r="C35" s="6">
        <v>0</v>
      </c>
      <c r="D35" s="6">
        <v>0</v>
      </c>
      <c r="E35" s="6">
        <v>0</v>
      </c>
      <c r="F35" s="6">
        <v>50</v>
      </c>
      <c r="G35" s="6">
        <v>2430</v>
      </c>
      <c r="H35" s="6">
        <v>1521</v>
      </c>
      <c r="I35" s="6">
        <v>2772</v>
      </c>
      <c r="J35" s="6">
        <v>1005</v>
      </c>
      <c r="K35" s="6">
        <v>5342</v>
      </c>
    </row>
    <row r="36" spans="1:11" x14ac:dyDescent="0.2">
      <c r="A36" s="8" t="s">
        <v>52</v>
      </c>
      <c r="B36" s="6">
        <v>1696</v>
      </c>
      <c r="C36" s="6">
        <v>1816</v>
      </c>
      <c r="D36" s="6">
        <v>1757</v>
      </c>
      <c r="E36" s="6">
        <v>1886</v>
      </c>
      <c r="F36" s="6">
        <v>2191</v>
      </c>
      <c r="G36" s="6">
        <v>2313</v>
      </c>
      <c r="H36" s="6">
        <v>2250</v>
      </c>
      <c r="I36" s="6">
        <v>2353</v>
      </c>
      <c r="J36" s="6">
        <v>2964</v>
      </c>
      <c r="K36" s="6">
        <v>3979</v>
      </c>
    </row>
    <row r="37" spans="1:11" x14ac:dyDescent="0.2">
      <c r="A37" s="8" t="s">
        <v>53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</row>
    <row r="38" spans="1:11" ht="25" x14ac:dyDescent="0.2">
      <c r="A38" s="11" t="s">
        <v>54</v>
      </c>
      <c r="B38" s="6">
        <v>2350</v>
      </c>
      <c r="C38" s="6">
        <v>3055</v>
      </c>
      <c r="D38" s="6">
        <v>3631</v>
      </c>
      <c r="E38" s="6">
        <v>1530</v>
      </c>
      <c r="F38" s="6">
        <v>2147</v>
      </c>
      <c r="G38" s="6">
        <v>2160</v>
      </c>
      <c r="H38" s="6">
        <v>2186</v>
      </c>
      <c r="I38" s="6">
        <v>3412</v>
      </c>
      <c r="J38" s="6">
        <v>2797</v>
      </c>
      <c r="K38" s="6">
        <v>3520</v>
      </c>
    </row>
    <row r="39" spans="1:11" x14ac:dyDescent="0.2">
      <c r="A39" s="8" t="s">
        <v>55</v>
      </c>
      <c r="B39" s="6">
        <v>2541</v>
      </c>
      <c r="C39" s="6">
        <v>2671</v>
      </c>
      <c r="D39" s="6">
        <v>2806</v>
      </c>
      <c r="E39" s="6">
        <v>3389</v>
      </c>
      <c r="F39" s="6">
        <v>3533</v>
      </c>
      <c r="G39" s="6">
        <v>3927</v>
      </c>
      <c r="H39" s="6">
        <v>4025</v>
      </c>
      <c r="I39" s="6">
        <v>4568</v>
      </c>
      <c r="J39" s="6">
        <v>4591</v>
      </c>
      <c r="K39" s="6">
        <v>4722</v>
      </c>
    </row>
    <row r="40" spans="1:11" x14ac:dyDescent="0.2">
      <c r="B40" s="9"/>
      <c r="C40" s="9"/>
      <c r="D40" s="9"/>
      <c r="E40" s="9"/>
      <c r="F40" s="9"/>
      <c r="G40" s="9"/>
      <c r="H40" s="9"/>
      <c r="I40" s="9"/>
      <c r="J40" s="9"/>
      <c r="K40" s="9"/>
    </row>
    <row r="41" spans="1:11" ht="25" x14ac:dyDescent="0.2">
      <c r="A41" s="2" t="s">
        <v>56</v>
      </c>
      <c r="B41" s="6">
        <f>SUM(B34:B39)</f>
        <v>11000</v>
      </c>
      <c r="C41" s="6">
        <f t="shared" ref="C41:K41" si="4">SUM(C34:C39)</f>
        <v>12088</v>
      </c>
      <c r="D41" s="6">
        <f t="shared" si="4"/>
        <v>12813</v>
      </c>
      <c r="E41" s="6">
        <f t="shared" si="4"/>
        <v>11704</v>
      </c>
      <c r="F41" s="6">
        <f t="shared" si="4"/>
        <v>13292</v>
      </c>
      <c r="G41" s="6">
        <f t="shared" si="4"/>
        <v>16334</v>
      </c>
      <c r="H41" s="6">
        <f t="shared" si="4"/>
        <v>16842</v>
      </c>
      <c r="I41" s="6">
        <f t="shared" si="4"/>
        <v>19595</v>
      </c>
      <c r="J41" s="6">
        <f t="shared" si="4"/>
        <v>17860</v>
      </c>
      <c r="K41" s="6">
        <f t="shared" si="4"/>
        <v>31341</v>
      </c>
    </row>
    <row r="42" spans="1:11" x14ac:dyDescent="0.2">
      <c r="B42" s="9"/>
      <c r="C42" s="9"/>
      <c r="D42" s="9"/>
      <c r="E42" s="9"/>
      <c r="F42" s="9"/>
      <c r="G42" s="9"/>
      <c r="H42" s="9"/>
      <c r="I42" s="9"/>
      <c r="J42" s="9"/>
      <c r="K42" s="9"/>
    </row>
    <row r="43" spans="1:11" x14ac:dyDescent="0.2">
      <c r="A43" s="11" t="s">
        <v>57</v>
      </c>
      <c r="B43" s="6">
        <v>10354</v>
      </c>
      <c r="C43" s="6">
        <v>11210</v>
      </c>
      <c r="D43" s="6">
        <v>10981</v>
      </c>
      <c r="E43" s="6">
        <v>13050</v>
      </c>
      <c r="F43" s="6">
        <v>12905</v>
      </c>
      <c r="G43" s="6">
        <v>12968</v>
      </c>
      <c r="H43" s="6">
        <v>16657</v>
      </c>
      <c r="I43" s="6">
        <v>19248</v>
      </c>
      <c r="J43" s="6">
        <v>17226</v>
      </c>
      <c r="K43" s="6">
        <v>38275</v>
      </c>
    </row>
    <row r="44" spans="1:11" ht="25" x14ac:dyDescent="0.2">
      <c r="A44" s="11" t="s">
        <v>58</v>
      </c>
      <c r="B44" s="6">
        <v>2630</v>
      </c>
      <c r="C44" s="6">
        <v>2866</v>
      </c>
      <c r="D44" s="6">
        <v>2251</v>
      </c>
      <c r="E44" s="6">
        <v>4050</v>
      </c>
      <c r="F44" s="6">
        <v>4098</v>
      </c>
      <c r="G44" s="6">
        <v>4051</v>
      </c>
      <c r="H44" s="6">
        <v>3679</v>
      </c>
      <c r="I44" s="6">
        <v>4480</v>
      </c>
      <c r="J44" s="6">
        <v>3109</v>
      </c>
      <c r="K44" s="6">
        <v>7902</v>
      </c>
    </row>
    <row r="45" spans="1:11" x14ac:dyDescent="0.2">
      <c r="A45" s="11" t="s">
        <v>59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</row>
    <row r="46" spans="1:11" x14ac:dyDescent="0.2">
      <c r="A46" s="11" t="s">
        <v>60</v>
      </c>
      <c r="B46" s="6">
        <v>5880</v>
      </c>
      <c r="C46" s="6">
        <v>6507</v>
      </c>
      <c r="D46" s="6">
        <v>6895</v>
      </c>
      <c r="E46" s="6">
        <v>4287</v>
      </c>
      <c r="F46" s="6">
        <v>5713</v>
      </c>
      <c r="G46" s="6">
        <v>6174</v>
      </c>
      <c r="H46" s="6">
        <v>7532</v>
      </c>
      <c r="I46" s="6">
        <v>6314</v>
      </c>
      <c r="J46" s="6">
        <v>6448</v>
      </c>
      <c r="K46" s="6">
        <v>13614</v>
      </c>
    </row>
    <row r="47" spans="1:11" ht="25" x14ac:dyDescent="0.2">
      <c r="A47" s="11" t="s">
        <v>61</v>
      </c>
      <c r="B47" s="6">
        <v>0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1148</v>
      </c>
      <c r="J47" s="6">
        <v>1123</v>
      </c>
      <c r="K47" s="6">
        <v>8963</v>
      </c>
    </row>
    <row r="48" spans="1:11" x14ac:dyDescent="0.2">
      <c r="B48" s="9"/>
      <c r="C48" s="9"/>
      <c r="D48" s="9"/>
      <c r="E48" s="9"/>
      <c r="F48" s="9"/>
      <c r="G48" s="9"/>
      <c r="H48" s="9"/>
      <c r="I48" s="9"/>
      <c r="J48" s="9"/>
      <c r="K48" s="9"/>
    </row>
    <row r="49" spans="1:11" ht="25" x14ac:dyDescent="0.2">
      <c r="A49" s="2" t="s">
        <v>62</v>
      </c>
      <c r="B49" s="6">
        <f>SUM(B43:B47)+B41</f>
        <v>29864</v>
      </c>
      <c r="C49" s="6">
        <f t="shared" ref="C49:K49" si="5">SUM(C43:C47)+C41</f>
        <v>32671</v>
      </c>
      <c r="D49" s="6">
        <f t="shared" si="5"/>
        <v>32940</v>
      </c>
      <c r="E49" s="6">
        <f t="shared" si="5"/>
        <v>33091</v>
      </c>
      <c r="F49" s="6">
        <f t="shared" si="5"/>
        <v>36008</v>
      </c>
      <c r="G49" s="6">
        <f t="shared" si="5"/>
        <v>39527</v>
      </c>
      <c r="H49" s="6">
        <f t="shared" si="5"/>
        <v>44710</v>
      </c>
      <c r="I49" s="6">
        <f t="shared" si="5"/>
        <v>50785</v>
      </c>
      <c r="J49" s="6">
        <f t="shared" si="5"/>
        <v>45766</v>
      </c>
      <c r="K49" s="6">
        <f t="shared" si="5"/>
        <v>100095</v>
      </c>
    </row>
    <row r="50" spans="1:11" x14ac:dyDescent="0.2">
      <c r="B50" s="9"/>
      <c r="C50" s="9"/>
      <c r="D50" s="9"/>
      <c r="E50" s="9"/>
      <c r="F50" s="9"/>
      <c r="G50" s="9"/>
      <c r="H50" s="9"/>
      <c r="I50" s="9"/>
      <c r="J50" s="9"/>
      <c r="K50" s="9"/>
    </row>
    <row r="51" spans="1:11" ht="25" x14ac:dyDescent="0.2">
      <c r="A51" s="2" t="s">
        <v>63</v>
      </c>
      <c r="B51" s="9"/>
      <c r="C51" s="9"/>
      <c r="D51" s="9"/>
      <c r="E51" s="9"/>
      <c r="F51" s="9"/>
      <c r="G51" s="9"/>
      <c r="H51" s="9"/>
      <c r="I51" s="9"/>
      <c r="J51" s="9"/>
      <c r="K51" s="9"/>
    </row>
    <row r="52" spans="1:11" x14ac:dyDescent="0.2">
      <c r="A52" s="2" t="s">
        <v>64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</row>
    <row r="53" spans="1:11" x14ac:dyDescent="0.2">
      <c r="A53" s="2" t="s">
        <v>65</v>
      </c>
      <c r="B53" s="6">
        <v>27</v>
      </c>
      <c r="C53" s="6">
        <v>27</v>
      </c>
      <c r="D53" s="6">
        <v>28</v>
      </c>
      <c r="E53" s="6">
        <v>28</v>
      </c>
      <c r="F53" s="6">
        <v>28</v>
      </c>
      <c r="G53" s="6">
        <v>29</v>
      </c>
      <c r="H53" s="6">
        <v>29</v>
      </c>
      <c r="I53" s="6">
        <v>29</v>
      </c>
      <c r="J53" s="6">
        <v>29</v>
      </c>
      <c r="K53" s="6">
        <v>18</v>
      </c>
    </row>
    <row r="54" spans="1:11" x14ac:dyDescent="0.2">
      <c r="A54" s="2" t="s">
        <v>66</v>
      </c>
      <c r="B54" s="6">
        <v>28709</v>
      </c>
      <c r="C54" s="6">
        <v>30269</v>
      </c>
      <c r="D54" s="6">
        <v>31703</v>
      </c>
      <c r="E54" s="6">
        <v>33412</v>
      </c>
      <c r="F54" s="6">
        <v>34273</v>
      </c>
      <c r="G54" s="6">
        <v>35093</v>
      </c>
      <c r="H54" s="6">
        <v>35830</v>
      </c>
      <c r="I54" s="6">
        <v>36219</v>
      </c>
      <c r="J54" s="6">
        <v>36750</v>
      </c>
      <c r="K54" s="6">
        <v>53889</v>
      </c>
    </row>
    <row r="55" spans="1:11" x14ac:dyDescent="0.2">
      <c r="A55" s="2" t="s">
        <v>67</v>
      </c>
      <c r="B55" s="6">
        <v>32446</v>
      </c>
      <c r="C55" s="6">
        <v>35745</v>
      </c>
      <c r="D55" s="6">
        <v>39699</v>
      </c>
      <c r="E55" s="6">
        <v>46571</v>
      </c>
      <c r="F55" s="6">
        <v>51766</v>
      </c>
      <c r="G55" s="6">
        <v>56607</v>
      </c>
      <c r="H55" s="6">
        <v>62109</v>
      </c>
      <c r="I55" s="6">
        <v>69078</v>
      </c>
      <c r="J55" s="6">
        <v>79582</v>
      </c>
      <c r="K55" s="6">
        <v>35877</v>
      </c>
    </row>
    <row r="56" spans="1:11" x14ac:dyDescent="0.2">
      <c r="A56" s="2" t="s">
        <v>68</v>
      </c>
      <c r="B56" s="6">
        <v>-23663</v>
      </c>
      <c r="C56" s="6">
        <v>-28656</v>
      </c>
      <c r="D56" s="6">
        <v>-31671</v>
      </c>
      <c r="E56" s="6">
        <v>-34582</v>
      </c>
      <c r="F56" s="6">
        <v>-41109</v>
      </c>
      <c r="G56" s="6">
        <v>-47204</v>
      </c>
      <c r="H56" s="6">
        <v>-54703</v>
      </c>
      <c r="I56" s="6">
        <v>-64011</v>
      </c>
      <c r="J56" s="6">
        <v>-67588</v>
      </c>
      <c r="K56" s="6">
        <v>-907</v>
      </c>
    </row>
    <row r="57" spans="1:11" ht="25" x14ac:dyDescent="0.2">
      <c r="A57" s="2" t="s">
        <v>69</v>
      </c>
      <c r="B57" s="6">
        <f>SUM(B52:B56)</f>
        <v>37519</v>
      </c>
      <c r="C57" s="6">
        <f t="shared" ref="C57:K57" si="6">SUM(C52:C56)</f>
        <v>37385</v>
      </c>
      <c r="D57" s="6">
        <f t="shared" si="6"/>
        <v>39759</v>
      </c>
      <c r="E57" s="6">
        <f t="shared" si="6"/>
        <v>45429</v>
      </c>
      <c r="F57" s="6">
        <f t="shared" si="6"/>
        <v>44958</v>
      </c>
      <c r="G57" s="6">
        <f t="shared" si="6"/>
        <v>44525</v>
      </c>
      <c r="H57" s="6">
        <f t="shared" si="6"/>
        <v>43265</v>
      </c>
      <c r="I57" s="6">
        <f t="shared" si="6"/>
        <v>41315</v>
      </c>
      <c r="J57" s="6">
        <f t="shared" si="6"/>
        <v>48773</v>
      </c>
      <c r="K57" s="6">
        <f t="shared" si="6"/>
        <v>88877</v>
      </c>
    </row>
    <row r="58" spans="1:11" ht="25" x14ac:dyDescent="0.2">
      <c r="A58" s="2" t="s">
        <v>70</v>
      </c>
      <c r="B58" s="6">
        <v>1823</v>
      </c>
      <c r="C58" s="6">
        <v>2068</v>
      </c>
      <c r="D58" s="6">
        <v>2199</v>
      </c>
      <c r="E58" s="6">
        <v>2721</v>
      </c>
      <c r="F58" s="6">
        <v>3220</v>
      </c>
      <c r="G58" s="6">
        <v>4130</v>
      </c>
      <c r="H58" s="6">
        <v>4058</v>
      </c>
      <c r="I58" s="6">
        <v>3689</v>
      </c>
      <c r="J58" s="6">
        <v>4059</v>
      </c>
      <c r="K58" s="6">
        <v>5012</v>
      </c>
    </row>
    <row r="59" spans="1:11" x14ac:dyDescent="0.2">
      <c r="B59" s="9"/>
      <c r="C59" s="9"/>
      <c r="D59" s="9"/>
      <c r="E59" s="9"/>
      <c r="F59" s="9"/>
      <c r="G59" s="9"/>
      <c r="H59" s="9"/>
      <c r="I59" s="9"/>
      <c r="J59" s="9"/>
      <c r="K59" s="9"/>
    </row>
    <row r="60" spans="1:11" ht="25" x14ac:dyDescent="0.2">
      <c r="A60" s="2" t="s">
        <v>71</v>
      </c>
      <c r="B60" s="6">
        <f>B57+B58</f>
        <v>39342</v>
      </c>
      <c r="C60" s="6">
        <f t="shared" ref="C60:K60" si="7">C57+C58</f>
        <v>39453</v>
      </c>
      <c r="D60" s="6">
        <f t="shared" si="7"/>
        <v>41958</v>
      </c>
      <c r="E60" s="6">
        <f t="shared" si="7"/>
        <v>48150</v>
      </c>
      <c r="F60" s="6">
        <f t="shared" si="7"/>
        <v>48178</v>
      </c>
      <c r="G60" s="6">
        <f t="shared" si="7"/>
        <v>48655</v>
      </c>
      <c r="H60" s="6">
        <f t="shared" si="7"/>
        <v>47323</v>
      </c>
      <c r="I60" s="6">
        <f t="shared" si="7"/>
        <v>45004</v>
      </c>
      <c r="J60" s="6">
        <f t="shared" si="7"/>
        <v>52832</v>
      </c>
      <c r="K60" s="6">
        <f t="shared" si="7"/>
        <v>93889</v>
      </c>
    </row>
    <row r="61" spans="1:11" x14ac:dyDescent="0.2">
      <c r="B61" s="9"/>
      <c r="C61" s="9"/>
      <c r="D61" s="9"/>
      <c r="E61" s="9"/>
      <c r="F61" s="9"/>
      <c r="G61" s="9"/>
      <c r="H61" s="9"/>
      <c r="I61" s="9"/>
      <c r="J61" s="9"/>
      <c r="K61" s="9"/>
    </row>
    <row r="62" spans="1:11" ht="37" x14ac:dyDescent="0.2">
      <c r="A62" s="2" t="s">
        <v>72</v>
      </c>
      <c r="B62" s="6">
        <f>B60+B49</f>
        <v>69206</v>
      </c>
      <c r="C62" s="6">
        <f t="shared" ref="C62:K62" si="8">C60+C49</f>
        <v>72124</v>
      </c>
      <c r="D62" s="6">
        <f t="shared" si="8"/>
        <v>74898</v>
      </c>
      <c r="E62" s="6">
        <f t="shared" si="8"/>
        <v>81241</v>
      </c>
      <c r="F62" s="6">
        <f t="shared" si="8"/>
        <v>84186</v>
      </c>
      <c r="G62" s="6">
        <f t="shared" si="8"/>
        <v>88182</v>
      </c>
      <c r="H62" s="6">
        <f t="shared" si="8"/>
        <v>92033</v>
      </c>
      <c r="I62" s="6">
        <f t="shared" si="8"/>
        <v>95789</v>
      </c>
      <c r="J62" s="6">
        <f t="shared" si="8"/>
        <v>98598</v>
      </c>
      <c r="K62" s="6">
        <f t="shared" si="8"/>
        <v>193984</v>
      </c>
    </row>
    <row r="63" spans="1:11" x14ac:dyDescent="0.2">
      <c r="B63" s="12" t="b">
        <f>ROUND(B62,0)=ROUND(B31,0)</f>
        <v>1</v>
      </c>
      <c r="C63" s="12" t="b">
        <f t="shared" ref="C63:K63" si="9">ROUND(C62,0)=ROUND(C31,0)</f>
        <v>1</v>
      </c>
      <c r="D63" s="12" t="b">
        <f t="shared" si="9"/>
        <v>1</v>
      </c>
      <c r="E63" s="12" t="b">
        <f t="shared" si="9"/>
        <v>1</v>
      </c>
      <c r="F63" s="12" t="b">
        <f t="shared" si="9"/>
        <v>1</v>
      </c>
      <c r="G63" s="12" t="b">
        <f t="shared" si="9"/>
        <v>1</v>
      </c>
      <c r="H63" s="12" t="b">
        <f t="shared" si="9"/>
        <v>1</v>
      </c>
      <c r="I63" s="12" t="b">
        <f t="shared" si="9"/>
        <v>1</v>
      </c>
      <c r="J63" s="12" t="b">
        <f t="shared" si="9"/>
        <v>1</v>
      </c>
      <c r="K63" s="12" t="b">
        <f t="shared" si="9"/>
        <v>1</v>
      </c>
    </row>
    <row r="65" spans="1:11" ht="25" x14ac:dyDescent="0.2">
      <c r="A65" s="4" t="s">
        <v>73</v>
      </c>
    </row>
    <row r="66" spans="1:11" x14ac:dyDescent="0.2">
      <c r="A66" s="1" t="s">
        <v>11</v>
      </c>
      <c r="B66" s="4" t="s">
        <v>12</v>
      </c>
      <c r="C66" s="4" t="s">
        <v>13</v>
      </c>
      <c r="D66" s="4" t="s">
        <v>14</v>
      </c>
      <c r="E66" s="4" t="s">
        <v>15</v>
      </c>
      <c r="F66" s="4" t="s">
        <v>16</v>
      </c>
      <c r="G66" s="4" t="s">
        <v>17</v>
      </c>
      <c r="H66" s="4" t="s">
        <v>18</v>
      </c>
      <c r="I66" s="4" t="s">
        <v>19</v>
      </c>
      <c r="J66" s="4" t="s">
        <v>20</v>
      </c>
      <c r="K66" s="4" t="s">
        <v>21</v>
      </c>
    </row>
    <row r="67" spans="1:11" x14ac:dyDescent="0.2">
      <c r="A67" s="1" t="s">
        <v>22</v>
      </c>
      <c r="B67" s="18" t="s">
        <v>23</v>
      </c>
      <c r="C67" s="18" t="s">
        <v>24</v>
      </c>
      <c r="D67" s="18" t="s">
        <v>25</v>
      </c>
      <c r="E67" s="18" t="s">
        <v>26</v>
      </c>
      <c r="F67" s="18" t="s">
        <v>27</v>
      </c>
      <c r="G67" s="18" t="s">
        <v>28</v>
      </c>
      <c r="H67" s="18" t="s">
        <v>29</v>
      </c>
      <c r="I67" s="18" t="s">
        <v>30</v>
      </c>
      <c r="J67" s="18" t="s">
        <v>31</v>
      </c>
      <c r="K67" s="18" t="s">
        <v>32</v>
      </c>
    </row>
    <row r="68" spans="1:11" x14ac:dyDescent="0.2">
      <c r="A68" s="2" t="s">
        <v>74</v>
      </c>
      <c r="B68" s="6">
        <v>38063</v>
      </c>
      <c r="C68" s="6">
        <v>40893</v>
      </c>
      <c r="D68" s="6">
        <v>42278</v>
      </c>
      <c r="E68" s="6">
        <v>45041</v>
      </c>
      <c r="F68" s="6">
        <v>48813</v>
      </c>
      <c r="G68" s="6">
        <v>52465</v>
      </c>
      <c r="H68" s="6">
        <v>55632</v>
      </c>
      <c r="I68" s="6">
        <v>55137</v>
      </c>
      <c r="J68" s="6">
        <v>59434</v>
      </c>
      <c r="K68" s="6">
        <v>69570</v>
      </c>
    </row>
    <row r="69" spans="1:11" x14ac:dyDescent="0.2">
      <c r="A69" s="2" t="s">
        <v>75</v>
      </c>
      <c r="B69" s="6">
        <v>29624</v>
      </c>
      <c r="C69" s="6">
        <v>31271</v>
      </c>
      <c r="D69" s="6">
        <v>31428</v>
      </c>
      <c r="E69" s="6">
        <v>33399</v>
      </c>
      <c r="F69" s="6">
        <v>26420</v>
      </c>
      <c r="G69" s="6">
        <v>28364</v>
      </c>
      <c r="H69" s="6">
        <v>29864</v>
      </c>
      <c r="I69" s="6">
        <v>30306</v>
      </c>
      <c r="J69" s="6">
        <v>32726</v>
      </c>
      <c r="K69" s="6">
        <v>42018</v>
      </c>
    </row>
    <row r="70" spans="1:11" x14ac:dyDescent="0.2">
      <c r="B70" s="9"/>
      <c r="C70" s="9"/>
      <c r="D70" s="9"/>
      <c r="E70" s="9"/>
      <c r="F70" s="9"/>
      <c r="G70" s="9"/>
      <c r="H70" s="9"/>
      <c r="I70" s="9"/>
      <c r="J70" s="9"/>
      <c r="K70" s="9"/>
    </row>
    <row r="71" spans="1:11" x14ac:dyDescent="0.2">
      <c r="A71" s="2" t="s">
        <v>76</v>
      </c>
      <c r="B71" s="6">
        <f>B68-B69</f>
        <v>8439</v>
      </c>
      <c r="C71" s="6">
        <f t="shared" ref="C71:K71" si="10">C68-C69</f>
        <v>9622</v>
      </c>
      <c r="D71" s="6">
        <f t="shared" si="10"/>
        <v>10850</v>
      </c>
      <c r="E71" s="6">
        <f t="shared" si="10"/>
        <v>11642</v>
      </c>
      <c r="F71" s="6">
        <f t="shared" si="10"/>
        <v>22393</v>
      </c>
      <c r="G71" s="6">
        <f t="shared" si="10"/>
        <v>24101</v>
      </c>
      <c r="H71" s="6">
        <f t="shared" si="10"/>
        <v>25768</v>
      </c>
      <c r="I71" s="6">
        <f t="shared" si="10"/>
        <v>24831</v>
      </c>
      <c r="J71" s="6">
        <f t="shared" si="10"/>
        <v>26708</v>
      </c>
      <c r="K71" s="6">
        <f t="shared" si="10"/>
        <v>27552</v>
      </c>
    </row>
    <row r="72" spans="1:11" ht="25" x14ac:dyDescent="0.2">
      <c r="A72" s="2" t="s">
        <v>77</v>
      </c>
      <c r="B72" s="6"/>
      <c r="C72" s="6"/>
      <c r="D72" s="6"/>
      <c r="E72" s="6"/>
      <c r="F72" s="6">
        <v>8565</v>
      </c>
      <c r="G72" s="6">
        <v>8523</v>
      </c>
      <c r="H72" s="6">
        <v>8754</v>
      </c>
      <c r="I72" s="6">
        <v>8176</v>
      </c>
      <c r="J72" s="6">
        <v>8860</v>
      </c>
      <c r="K72" s="6">
        <v>11383</v>
      </c>
    </row>
    <row r="73" spans="1:11" x14ac:dyDescent="0.2">
      <c r="B73" s="9"/>
      <c r="C73" s="9"/>
      <c r="D73" s="9"/>
      <c r="E73" s="9"/>
      <c r="F73" s="9"/>
      <c r="G73" s="9"/>
      <c r="H73" s="9"/>
      <c r="I73" s="9"/>
      <c r="J73" s="9"/>
      <c r="K73" s="9"/>
    </row>
    <row r="74" spans="1:11" ht="37" x14ac:dyDescent="0.2">
      <c r="A74" s="2" t="s">
        <v>78</v>
      </c>
      <c r="B74" s="6">
        <f>B71-B72</f>
        <v>8439</v>
      </c>
      <c r="C74" s="6">
        <f t="shared" ref="C74:K74" si="11">C71-C72</f>
        <v>9622</v>
      </c>
      <c r="D74" s="6">
        <f t="shared" si="11"/>
        <v>10850</v>
      </c>
      <c r="E74" s="6">
        <f t="shared" si="11"/>
        <v>11642</v>
      </c>
      <c r="F74" s="6">
        <f t="shared" si="11"/>
        <v>13828</v>
      </c>
      <c r="G74" s="6">
        <f t="shared" si="11"/>
        <v>15578</v>
      </c>
      <c r="H74" s="6">
        <f t="shared" si="11"/>
        <v>17014</v>
      </c>
      <c r="I74" s="6">
        <f t="shared" si="11"/>
        <v>16655</v>
      </c>
      <c r="J74" s="6">
        <f t="shared" si="11"/>
        <v>17848</v>
      </c>
      <c r="K74" s="6">
        <f t="shared" si="11"/>
        <v>16169</v>
      </c>
    </row>
    <row r="75" spans="1:11" ht="25" x14ac:dyDescent="0.2">
      <c r="A75" s="2" t="s">
        <v>79</v>
      </c>
      <c r="B75" s="6">
        <v>1713</v>
      </c>
      <c r="C75" s="6">
        <v>1841</v>
      </c>
      <c r="D75" s="6">
        <v>1987</v>
      </c>
      <c r="E75" s="6">
        <v>2192</v>
      </c>
      <c r="F75" s="6">
        <v>2288</v>
      </c>
      <c r="G75" s="6">
        <v>2354</v>
      </c>
      <c r="H75" s="6">
        <v>2527</v>
      </c>
      <c r="I75" s="6">
        <v>2782</v>
      </c>
      <c r="J75" s="6">
        <v>3011</v>
      </c>
      <c r="K75" s="6">
        <v>4160</v>
      </c>
    </row>
    <row r="76" spans="1:11" x14ac:dyDescent="0.2">
      <c r="B76" s="9"/>
      <c r="C76" s="9"/>
      <c r="D76" s="9"/>
      <c r="E76" s="9"/>
      <c r="F76" s="9"/>
      <c r="G76" s="9"/>
      <c r="H76" s="9"/>
      <c r="I76" s="9"/>
      <c r="J76" s="9"/>
      <c r="K76" s="9"/>
    </row>
    <row r="77" spans="1:11" ht="37" x14ac:dyDescent="0.2">
      <c r="A77" s="2" t="s">
        <v>80</v>
      </c>
      <c r="B77" s="6">
        <f>B74-B75</f>
        <v>6726</v>
      </c>
      <c r="C77" s="6">
        <f t="shared" ref="C77:K77" si="12">C74-C75</f>
        <v>7781</v>
      </c>
      <c r="D77" s="6">
        <f t="shared" si="12"/>
        <v>8863</v>
      </c>
      <c r="E77" s="6">
        <f t="shared" si="12"/>
        <v>9450</v>
      </c>
      <c r="F77" s="6">
        <f t="shared" si="12"/>
        <v>11540</v>
      </c>
      <c r="G77" s="6">
        <f t="shared" si="12"/>
        <v>13224</v>
      </c>
      <c r="H77" s="6">
        <f t="shared" si="12"/>
        <v>14487</v>
      </c>
      <c r="I77" s="6">
        <f t="shared" si="12"/>
        <v>13873</v>
      </c>
      <c r="J77" s="6">
        <f t="shared" si="12"/>
        <v>14837</v>
      </c>
      <c r="K77" s="6">
        <f t="shared" si="12"/>
        <v>12009</v>
      </c>
    </row>
    <row r="78" spans="1:11" x14ac:dyDescent="0.2">
      <c r="A78" s="2" t="s">
        <v>81</v>
      </c>
      <c r="B78" s="6">
        <v>538</v>
      </c>
      <c r="C78" s="6">
        <v>526</v>
      </c>
      <c r="D78" s="6">
        <v>564</v>
      </c>
      <c r="E78" s="6">
        <v>426</v>
      </c>
      <c r="F78" s="6">
        <v>367</v>
      </c>
      <c r="G78" s="6">
        <v>375</v>
      </c>
      <c r="H78" s="6">
        <v>493</v>
      </c>
      <c r="I78" s="6">
        <v>594</v>
      </c>
      <c r="J78" s="6">
        <v>807</v>
      </c>
      <c r="K78" s="6">
        <v>1368</v>
      </c>
    </row>
    <row r="79" spans="1:11" ht="25" x14ac:dyDescent="0.2">
      <c r="A79" s="2" t="s">
        <v>82</v>
      </c>
      <c r="B79" s="6">
        <v>644</v>
      </c>
      <c r="C79" s="6">
        <v>768</v>
      </c>
      <c r="D79" s="6">
        <v>822</v>
      </c>
      <c r="E79" s="6">
        <v>934</v>
      </c>
      <c r="F79" s="6">
        <v>1250</v>
      </c>
      <c r="G79" s="6">
        <v>1072</v>
      </c>
      <c r="H79" s="6">
        <v>1159</v>
      </c>
      <c r="I79" s="6">
        <v>529</v>
      </c>
      <c r="J79" s="6">
        <v>341</v>
      </c>
      <c r="K79" s="6">
        <v>925</v>
      </c>
    </row>
    <row r="80" spans="1:11" x14ac:dyDescent="0.2">
      <c r="A80" s="2" t="s">
        <v>83</v>
      </c>
      <c r="B80" s="6">
        <v>-205</v>
      </c>
      <c r="C80" s="6">
        <v>20</v>
      </c>
      <c r="D80" s="6">
        <v>139</v>
      </c>
      <c r="E80" s="6">
        <v>-338</v>
      </c>
      <c r="F80" s="6">
        <v>-177</v>
      </c>
      <c r="G80" s="6">
        <v>-53</v>
      </c>
      <c r="H80" s="6">
        <v>-285</v>
      </c>
      <c r="I80" s="6">
        <v>-20</v>
      </c>
      <c r="J80" s="6">
        <v>358</v>
      </c>
      <c r="K80" s="6">
        <v>2378</v>
      </c>
    </row>
    <row r="81" spans="1:11" x14ac:dyDescent="0.2">
      <c r="B81" s="6"/>
      <c r="C81" s="6"/>
      <c r="D81" s="6"/>
      <c r="E81" s="6"/>
      <c r="F81" s="6"/>
      <c r="G81" s="6"/>
      <c r="H81" s="6"/>
      <c r="I81" s="6"/>
      <c r="J81" s="6"/>
      <c r="K81" s="6"/>
    </row>
    <row r="82" spans="1:11" x14ac:dyDescent="0.2">
      <c r="A82" s="2" t="s">
        <v>84</v>
      </c>
      <c r="B82" s="6">
        <f>B77-B78+B79+B80</f>
        <v>6627</v>
      </c>
      <c r="C82" s="6">
        <f t="shared" ref="C82:K82" si="13">C77-C78+C79+C80</f>
        <v>8043</v>
      </c>
      <c r="D82" s="6">
        <f t="shared" si="13"/>
        <v>9260</v>
      </c>
      <c r="E82" s="6">
        <f t="shared" si="13"/>
        <v>9620</v>
      </c>
      <c r="F82" s="6">
        <f t="shared" si="13"/>
        <v>12246</v>
      </c>
      <c r="G82" s="6">
        <f t="shared" si="13"/>
        <v>13868</v>
      </c>
      <c r="H82" s="6">
        <f t="shared" si="13"/>
        <v>14868</v>
      </c>
      <c r="I82" s="6">
        <f t="shared" si="13"/>
        <v>13788</v>
      </c>
      <c r="J82" s="6">
        <f t="shared" si="13"/>
        <v>14729</v>
      </c>
      <c r="K82" s="6">
        <f t="shared" si="13"/>
        <v>13944</v>
      </c>
    </row>
    <row r="83" spans="1:11" x14ac:dyDescent="0.2">
      <c r="A83" s="2" t="s">
        <v>85</v>
      </c>
      <c r="B83" s="6">
        <v>2314</v>
      </c>
      <c r="C83" s="6">
        <v>2785</v>
      </c>
      <c r="D83" s="6">
        <v>3087</v>
      </c>
      <c r="E83" s="6">
        <v>2984</v>
      </c>
      <c r="F83" s="6">
        <v>4242</v>
      </c>
      <c r="G83" s="6">
        <v>5016</v>
      </c>
      <c r="H83" s="6">
        <v>5078</v>
      </c>
      <c r="I83" s="6">
        <v>4422</v>
      </c>
      <c r="J83" s="6">
        <v>1663</v>
      </c>
      <c r="K83" s="6">
        <v>3031</v>
      </c>
    </row>
    <row r="84" spans="1:11" x14ac:dyDescent="0.2">
      <c r="A84" s="2" t="s">
        <v>86</v>
      </c>
      <c r="B84" s="6">
        <v>350</v>
      </c>
      <c r="C84" s="6">
        <v>451</v>
      </c>
      <c r="D84" s="6">
        <v>491</v>
      </c>
      <c r="E84" s="6">
        <v>500</v>
      </c>
      <c r="F84" s="6">
        <v>503</v>
      </c>
      <c r="G84" s="6">
        <v>470</v>
      </c>
      <c r="H84" s="6">
        <v>399</v>
      </c>
      <c r="I84" s="6">
        <v>386</v>
      </c>
      <c r="J84" s="6">
        <v>468</v>
      </c>
      <c r="K84" s="6">
        <v>472</v>
      </c>
    </row>
    <row r="85" spans="1:11" x14ac:dyDescent="0.2">
      <c r="A85" s="2" t="s">
        <v>87</v>
      </c>
      <c r="B85" s="6">
        <v>3963</v>
      </c>
      <c r="C85" s="6">
        <v>4807</v>
      </c>
      <c r="D85" s="6">
        <v>5682</v>
      </c>
      <c r="E85" s="6">
        <v>6136</v>
      </c>
      <c r="F85" s="6">
        <v>7501</v>
      </c>
      <c r="G85" s="6">
        <v>8382</v>
      </c>
      <c r="H85" s="6">
        <v>9391</v>
      </c>
      <c r="I85" s="6">
        <v>8980</v>
      </c>
      <c r="J85" s="6">
        <v>12598</v>
      </c>
      <c r="K85" s="6">
        <v>10441</v>
      </c>
    </row>
    <row r="86" spans="1:11" x14ac:dyDescent="0.2">
      <c r="A86" s="2" t="s">
        <v>88</v>
      </c>
      <c r="B86" s="6">
        <v>0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</row>
    <row r="87" spans="1:11" x14ac:dyDescent="0.2">
      <c r="A87" s="2" t="s">
        <v>89</v>
      </c>
      <c r="B87" s="6">
        <v>0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613</v>
      </c>
    </row>
    <row r="88" spans="1:11" x14ac:dyDescent="0.2">
      <c r="B88" s="9"/>
      <c r="C88" s="9"/>
      <c r="D88" s="9"/>
      <c r="E88" s="9"/>
      <c r="F88" s="9"/>
      <c r="G88" s="9"/>
      <c r="H88" s="9"/>
      <c r="I88" s="9"/>
      <c r="J88" s="9"/>
      <c r="K88" s="9"/>
    </row>
    <row r="89" spans="1:11" ht="25" x14ac:dyDescent="0.2">
      <c r="A89" s="2" t="s">
        <v>90</v>
      </c>
      <c r="B89" s="6">
        <f>B85+B86+B87</f>
        <v>3963</v>
      </c>
      <c r="C89" s="6">
        <f t="shared" ref="C89:K89" si="14">C85+C86+C87</f>
        <v>4807</v>
      </c>
      <c r="D89" s="6">
        <f t="shared" si="14"/>
        <v>5682</v>
      </c>
      <c r="E89" s="6">
        <f t="shared" si="14"/>
        <v>6136</v>
      </c>
      <c r="F89" s="6">
        <f t="shared" si="14"/>
        <v>7501</v>
      </c>
      <c r="G89" s="6">
        <f t="shared" si="14"/>
        <v>8382</v>
      </c>
      <c r="H89" s="6">
        <f t="shared" si="14"/>
        <v>9391</v>
      </c>
      <c r="I89" s="6">
        <f t="shared" si="14"/>
        <v>8980</v>
      </c>
      <c r="J89" s="6">
        <f t="shared" si="14"/>
        <v>12598</v>
      </c>
      <c r="K89" s="6">
        <f t="shared" si="14"/>
        <v>11054</v>
      </c>
    </row>
    <row r="90" spans="1:11" x14ac:dyDescent="0.2">
      <c r="B90" s="6">
        <v>3963</v>
      </c>
      <c r="C90" s="6">
        <v>4807</v>
      </c>
      <c r="D90" s="6">
        <v>5682</v>
      </c>
      <c r="E90" s="6">
        <v>6136</v>
      </c>
      <c r="F90" s="6">
        <v>7501</v>
      </c>
      <c r="G90" s="6">
        <v>8382</v>
      </c>
      <c r="H90" s="6">
        <v>9391</v>
      </c>
      <c r="I90" s="6">
        <v>8980</v>
      </c>
      <c r="J90" s="6">
        <v>12598</v>
      </c>
      <c r="K90" s="6">
        <v>11054</v>
      </c>
    </row>
    <row r="91" spans="1:11" x14ac:dyDescent="0.2">
      <c r="A91" s="12"/>
      <c r="B91" s="12" t="b">
        <f>B89=B90</f>
        <v>1</v>
      </c>
      <c r="C91" s="12" t="b">
        <f t="shared" ref="C91:K91" si="15">C89=C90</f>
        <v>1</v>
      </c>
      <c r="D91" s="12" t="b">
        <f t="shared" si="15"/>
        <v>1</v>
      </c>
      <c r="E91" s="12" t="b">
        <f t="shared" si="15"/>
        <v>1</v>
      </c>
      <c r="F91" s="12" t="b">
        <f t="shared" si="15"/>
        <v>1</v>
      </c>
      <c r="G91" s="12" t="b">
        <f t="shared" si="15"/>
        <v>1</v>
      </c>
      <c r="H91" s="12" t="b">
        <f t="shared" si="15"/>
        <v>1</v>
      </c>
      <c r="I91" s="12" t="b">
        <f t="shared" si="15"/>
        <v>1</v>
      </c>
      <c r="J91" s="12" t="b">
        <f t="shared" si="15"/>
        <v>1</v>
      </c>
      <c r="K91" s="12" t="b">
        <f t="shared" si="15"/>
        <v>1</v>
      </c>
    </row>
    <row r="94" spans="1:11" ht="25" x14ac:dyDescent="0.2">
      <c r="A94" s="2" t="s">
        <v>105</v>
      </c>
      <c r="B94" s="13"/>
      <c r="C94" s="13"/>
      <c r="D94" s="13"/>
      <c r="E94" s="13"/>
      <c r="F94" s="13"/>
    </row>
    <row r="95" spans="1:11" ht="25" x14ac:dyDescent="0.2">
      <c r="A95" s="2" t="s">
        <v>106</v>
      </c>
      <c r="B95" s="13"/>
      <c r="C95" s="13"/>
      <c r="D95" s="13"/>
      <c r="E95" s="13"/>
      <c r="F95" s="13" t="s">
        <v>107</v>
      </c>
    </row>
    <row r="96" spans="1:11" x14ac:dyDescent="0.2">
      <c r="A96" s="2" t="s">
        <v>91</v>
      </c>
      <c r="B96" s="13"/>
      <c r="C96" s="6">
        <f>C89</f>
        <v>4807</v>
      </c>
      <c r="D96" s="6">
        <f t="shared" ref="D96:K96" si="16">D89</f>
        <v>5682</v>
      </c>
      <c r="E96" s="6">
        <f t="shared" si="16"/>
        <v>6136</v>
      </c>
      <c r="F96" s="6">
        <f t="shared" si="16"/>
        <v>7501</v>
      </c>
      <c r="G96" s="6">
        <f t="shared" si="16"/>
        <v>8382</v>
      </c>
      <c r="H96" s="6">
        <f t="shared" si="16"/>
        <v>9391</v>
      </c>
      <c r="I96" s="6">
        <f t="shared" si="16"/>
        <v>8980</v>
      </c>
      <c r="J96" s="6">
        <f t="shared" si="16"/>
        <v>12598</v>
      </c>
      <c r="K96" s="6">
        <f t="shared" si="16"/>
        <v>11054</v>
      </c>
    </row>
    <row r="97" spans="1:11" x14ac:dyDescent="0.2">
      <c r="A97" s="2" t="s">
        <v>108</v>
      </c>
      <c r="B97" s="13"/>
      <c r="C97" s="6">
        <f>C75</f>
        <v>1841</v>
      </c>
      <c r="D97" s="6">
        <f t="shared" ref="D97:K97" si="17">D75</f>
        <v>1987</v>
      </c>
      <c r="E97" s="6">
        <f t="shared" si="17"/>
        <v>2192</v>
      </c>
      <c r="F97" s="6">
        <f t="shared" si="17"/>
        <v>2288</v>
      </c>
      <c r="G97" s="6">
        <f t="shared" si="17"/>
        <v>2354</v>
      </c>
      <c r="H97" s="6">
        <f t="shared" si="17"/>
        <v>2527</v>
      </c>
      <c r="I97" s="6">
        <f t="shared" si="17"/>
        <v>2782</v>
      </c>
      <c r="J97" s="6">
        <f t="shared" si="17"/>
        <v>3011</v>
      </c>
      <c r="K97" s="6">
        <f t="shared" si="17"/>
        <v>4160</v>
      </c>
    </row>
    <row r="98" spans="1:11" ht="25" x14ac:dyDescent="0.2">
      <c r="A98" s="8" t="s">
        <v>35</v>
      </c>
      <c r="B98" s="13"/>
      <c r="C98" s="6">
        <f>(B13-C13)</f>
        <v>-398</v>
      </c>
      <c r="D98" s="6">
        <f t="shared" ref="D98:K98" si="18">(C13-D13)</f>
        <v>-358</v>
      </c>
      <c r="E98" s="6">
        <f t="shared" si="18"/>
        <v>-427</v>
      </c>
      <c r="F98" s="6">
        <f t="shared" si="18"/>
        <v>-855</v>
      </c>
      <c r="G98" s="6">
        <f t="shared" si="18"/>
        <v>-197</v>
      </c>
      <c r="H98" s="6">
        <f t="shared" si="18"/>
        <v>-1046</v>
      </c>
      <c r="I98" s="6">
        <f t="shared" si="18"/>
        <v>432</v>
      </c>
      <c r="J98" s="6">
        <f t="shared" si="18"/>
        <v>-701</v>
      </c>
      <c r="K98" s="6">
        <f t="shared" si="18"/>
        <v>-6147</v>
      </c>
    </row>
    <row r="99" spans="1:11" ht="25" x14ac:dyDescent="0.2">
      <c r="A99" s="8" t="s">
        <v>36</v>
      </c>
      <c r="B99" s="13"/>
      <c r="C99" s="6">
        <f t="shared" ref="C99:K101" si="19">(B14-C14)</f>
        <v>-149</v>
      </c>
      <c r="D99" s="6">
        <f t="shared" si="19"/>
        <v>56</v>
      </c>
      <c r="E99" s="6">
        <f t="shared" si="19"/>
        <v>92</v>
      </c>
      <c r="F99" s="6">
        <f t="shared" si="19"/>
        <v>-514</v>
      </c>
      <c r="G99" s="6">
        <f t="shared" si="19"/>
        <v>-106</v>
      </c>
      <c r="H99" s="6">
        <f t="shared" si="19"/>
        <v>143</v>
      </c>
      <c r="I99" s="6">
        <f t="shared" si="19"/>
        <v>-53</v>
      </c>
      <c r="J99" s="6">
        <f t="shared" si="19"/>
        <v>-55</v>
      </c>
      <c r="K99" s="6">
        <f t="shared" si="19"/>
        <v>-3540</v>
      </c>
    </row>
    <row r="100" spans="1:11" ht="25" x14ac:dyDescent="0.2">
      <c r="A100" s="8" t="s">
        <v>37</v>
      </c>
      <c r="B100" s="13"/>
      <c r="C100" s="6">
        <f t="shared" si="19"/>
        <v>-3</v>
      </c>
      <c r="D100" s="6">
        <f t="shared" si="19"/>
        <v>-20</v>
      </c>
      <c r="E100" s="6">
        <f t="shared" si="19"/>
        <v>26</v>
      </c>
      <c r="F100" s="6">
        <f t="shared" si="19"/>
        <v>18</v>
      </c>
      <c r="G100" s="6">
        <f t="shared" si="19"/>
        <v>-44</v>
      </c>
      <c r="H100" s="6">
        <f t="shared" si="19"/>
        <v>20</v>
      </c>
      <c r="I100" s="6">
        <f t="shared" si="19"/>
        <v>4</v>
      </c>
      <c r="J100" s="6">
        <f t="shared" si="19"/>
        <v>-31</v>
      </c>
      <c r="K100" s="6">
        <f t="shared" si="19"/>
        <v>476</v>
      </c>
    </row>
    <row r="101" spans="1:11" ht="25" x14ac:dyDescent="0.2">
      <c r="A101" s="8" t="s">
        <v>38</v>
      </c>
      <c r="B101" s="13"/>
      <c r="C101" s="6">
        <f t="shared" si="19"/>
        <v>-519</v>
      </c>
      <c r="D101" s="6">
        <f t="shared" si="19"/>
        <v>572</v>
      </c>
      <c r="E101" s="6">
        <f t="shared" si="19"/>
        <v>453</v>
      </c>
      <c r="F101" s="6">
        <f t="shared" si="19"/>
        <v>-226</v>
      </c>
      <c r="G101" s="6">
        <f t="shared" si="19"/>
        <v>-387</v>
      </c>
      <c r="H101" s="6">
        <f t="shared" si="19"/>
        <v>1016</v>
      </c>
      <c r="I101" s="6">
        <f t="shared" si="19"/>
        <v>127</v>
      </c>
      <c r="J101" s="6">
        <f t="shared" si="19"/>
        <v>-41</v>
      </c>
      <c r="K101" s="6">
        <f t="shared" si="19"/>
        <v>-795</v>
      </c>
    </row>
    <row r="102" spans="1:11" ht="25" x14ac:dyDescent="0.2">
      <c r="A102" s="8" t="s">
        <v>50</v>
      </c>
      <c r="B102" s="13"/>
      <c r="C102" s="6">
        <f>(C34-B34)</f>
        <v>133</v>
      </c>
      <c r="D102" s="6">
        <f t="shared" ref="D102:K102" si="20">(D34-C34)</f>
        <v>73</v>
      </c>
      <c r="E102" s="6">
        <f t="shared" si="20"/>
        <v>280</v>
      </c>
      <c r="F102" s="6">
        <f t="shared" si="20"/>
        <v>472</v>
      </c>
      <c r="G102" s="6">
        <f t="shared" si="20"/>
        <v>133</v>
      </c>
      <c r="H102" s="6">
        <f t="shared" si="20"/>
        <v>1356</v>
      </c>
      <c r="I102" s="6">
        <f t="shared" si="20"/>
        <v>-370</v>
      </c>
      <c r="J102" s="6">
        <f t="shared" si="20"/>
        <v>13</v>
      </c>
      <c r="K102" s="6">
        <f t="shared" si="20"/>
        <v>7275</v>
      </c>
    </row>
    <row r="103" spans="1:11" ht="25" x14ac:dyDescent="0.2">
      <c r="A103" s="8" t="s">
        <v>52</v>
      </c>
      <c r="B103" s="13"/>
      <c r="C103" s="6">
        <f>(C36-B36)</f>
        <v>120</v>
      </c>
      <c r="D103" s="6">
        <f t="shared" ref="D103:K104" si="21">(D36-C36)</f>
        <v>-59</v>
      </c>
      <c r="E103" s="6">
        <f t="shared" si="21"/>
        <v>129</v>
      </c>
      <c r="F103" s="6">
        <f t="shared" si="21"/>
        <v>305</v>
      </c>
      <c r="G103" s="6">
        <f t="shared" si="21"/>
        <v>122</v>
      </c>
      <c r="H103" s="6">
        <f t="shared" si="21"/>
        <v>-63</v>
      </c>
      <c r="I103" s="6">
        <f t="shared" si="21"/>
        <v>103</v>
      </c>
      <c r="J103" s="6">
        <f t="shared" si="21"/>
        <v>611</v>
      </c>
      <c r="K103" s="6">
        <f t="shared" si="21"/>
        <v>1015</v>
      </c>
    </row>
    <row r="104" spans="1:11" x14ac:dyDescent="0.2">
      <c r="A104" s="8" t="s">
        <v>53</v>
      </c>
      <c r="B104" s="13"/>
      <c r="C104" s="6">
        <f>(C37-B37)</f>
        <v>0</v>
      </c>
      <c r="D104" s="6">
        <f t="shared" si="21"/>
        <v>0</v>
      </c>
      <c r="E104" s="6">
        <f t="shared" si="21"/>
        <v>0</v>
      </c>
      <c r="F104" s="6">
        <f t="shared" si="21"/>
        <v>0</v>
      </c>
      <c r="G104" s="6">
        <f t="shared" si="21"/>
        <v>0</v>
      </c>
      <c r="H104" s="6">
        <f t="shared" si="21"/>
        <v>0</v>
      </c>
      <c r="I104" s="6">
        <f t="shared" si="21"/>
        <v>0</v>
      </c>
      <c r="J104" s="6">
        <f t="shared" si="21"/>
        <v>0</v>
      </c>
      <c r="K104" s="6">
        <f t="shared" si="21"/>
        <v>0</v>
      </c>
    </row>
    <row r="105" spans="1:11" ht="25" x14ac:dyDescent="0.2">
      <c r="A105" s="8" t="s">
        <v>55</v>
      </c>
      <c r="B105" s="13"/>
      <c r="C105" s="6">
        <f>(C39-B39)</f>
        <v>130</v>
      </c>
      <c r="D105" s="6">
        <f t="shared" ref="D105:K105" si="22">(D39-C39)</f>
        <v>135</v>
      </c>
      <c r="E105" s="6">
        <f t="shared" si="22"/>
        <v>583</v>
      </c>
      <c r="F105" s="6">
        <f t="shared" si="22"/>
        <v>144</v>
      </c>
      <c r="G105" s="6">
        <f t="shared" si="22"/>
        <v>394</v>
      </c>
      <c r="H105" s="6">
        <f t="shared" si="22"/>
        <v>98</v>
      </c>
      <c r="I105" s="6">
        <f t="shared" si="22"/>
        <v>543</v>
      </c>
      <c r="J105" s="6">
        <f t="shared" si="22"/>
        <v>23</v>
      </c>
      <c r="K105" s="6">
        <f t="shared" si="22"/>
        <v>131</v>
      </c>
    </row>
    <row r="106" spans="1:11" ht="25" x14ac:dyDescent="0.2">
      <c r="A106" s="2" t="s">
        <v>109</v>
      </c>
      <c r="B106" s="13"/>
      <c r="C106" s="6">
        <f>SUM(C96:C105)</f>
        <v>5962</v>
      </c>
      <c r="D106" s="6">
        <f t="shared" ref="D106:K106" si="23">SUM(D96:D105)</f>
        <v>8068</v>
      </c>
      <c r="E106" s="6">
        <f t="shared" si="23"/>
        <v>9464</v>
      </c>
      <c r="F106" s="6">
        <f t="shared" si="23"/>
        <v>9133</v>
      </c>
      <c r="G106" s="6">
        <f t="shared" si="23"/>
        <v>10651</v>
      </c>
      <c r="H106" s="6">
        <f t="shared" si="23"/>
        <v>13442</v>
      </c>
      <c r="I106" s="6">
        <f t="shared" si="23"/>
        <v>12548</v>
      </c>
      <c r="J106" s="6">
        <f t="shared" si="23"/>
        <v>15428</v>
      </c>
      <c r="K106" s="6">
        <f t="shared" si="23"/>
        <v>13629</v>
      </c>
    </row>
    <row r="107" spans="1:11" x14ac:dyDescent="0.2">
      <c r="A107" s="2"/>
      <c r="B107" s="13"/>
      <c r="C107" s="6"/>
      <c r="D107" s="6"/>
      <c r="E107" s="6"/>
      <c r="F107" s="6"/>
      <c r="G107" s="6"/>
      <c r="H107" s="6"/>
      <c r="I107" s="6"/>
      <c r="J107" s="6"/>
      <c r="K107" s="6"/>
    </row>
    <row r="108" spans="1:11" ht="25" x14ac:dyDescent="0.2">
      <c r="A108" s="2" t="s">
        <v>92</v>
      </c>
      <c r="B108" s="13"/>
      <c r="C108" s="6"/>
      <c r="D108" s="6"/>
      <c r="E108" s="6"/>
      <c r="F108" s="6"/>
      <c r="G108" s="6"/>
      <c r="H108" s="6"/>
      <c r="I108" s="6"/>
      <c r="J108" s="6"/>
      <c r="K108" s="6"/>
    </row>
    <row r="109" spans="1:11" ht="49" x14ac:dyDescent="0.2">
      <c r="A109" s="14" t="s">
        <v>110</v>
      </c>
      <c r="B109" s="13"/>
      <c r="C109" s="6">
        <f>-C133</f>
        <v>-3730</v>
      </c>
      <c r="D109" s="6">
        <f t="shared" ref="D109:K109" si="24">-D133</f>
        <v>-3804</v>
      </c>
      <c r="E109" s="6">
        <f t="shared" si="24"/>
        <v>-3060</v>
      </c>
      <c r="F109" s="6">
        <f t="shared" si="24"/>
        <v>-3240</v>
      </c>
      <c r="G109" s="6">
        <f t="shared" si="24"/>
        <v>-4201</v>
      </c>
      <c r="H109" s="6">
        <f t="shared" si="24"/>
        <v>-4697</v>
      </c>
      <c r="I109" s="6">
        <f t="shared" si="24"/>
        <v>-3839</v>
      </c>
      <c r="J109" s="6">
        <f t="shared" si="24"/>
        <v>-4145</v>
      </c>
      <c r="K109" s="6">
        <f t="shared" si="24"/>
        <v>-6223</v>
      </c>
    </row>
    <row r="110" spans="1:11" ht="25" x14ac:dyDescent="0.2">
      <c r="A110" s="10" t="s">
        <v>43</v>
      </c>
      <c r="B110" s="13"/>
      <c r="C110" s="6">
        <f>(B25-C25)</f>
        <v>71</v>
      </c>
      <c r="D110" s="6">
        <f t="shared" ref="D110:K110" si="25">(C25-D25)</f>
        <v>-386</v>
      </c>
      <c r="E110" s="6">
        <f t="shared" si="25"/>
        <v>31</v>
      </c>
      <c r="F110" s="6">
        <f t="shared" si="25"/>
        <v>-69</v>
      </c>
      <c r="G110" s="6">
        <f t="shared" si="25"/>
        <v>-7</v>
      </c>
      <c r="H110" s="6">
        <f t="shared" si="25"/>
        <v>-1599</v>
      </c>
      <c r="I110" s="6">
        <f t="shared" si="25"/>
        <v>995</v>
      </c>
      <c r="J110" s="6">
        <f t="shared" si="25"/>
        <v>319</v>
      </c>
      <c r="K110" s="6">
        <f t="shared" si="25"/>
        <v>-154</v>
      </c>
    </row>
    <row r="111" spans="1:11" ht="37" x14ac:dyDescent="0.2">
      <c r="A111" s="10" t="s">
        <v>44</v>
      </c>
      <c r="B111" s="13"/>
      <c r="C111" s="6">
        <f t="shared" ref="C111:K114" si="26">(B26-C26)</f>
        <v>-401</v>
      </c>
      <c r="D111" s="6">
        <f t="shared" si="26"/>
        <v>136</v>
      </c>
      <c r="E111" s="6">
        <f t="shared" si="26"/>
        <v>-59</v>
      </c>
      <c r="F111" s="6">
        <f t="shared" si="26"/>
        <v>284</v>
      </c>
      <c r="G111" s="6">
        <f t="shared" si="26"/>
        <v>-44</v>
      </c>
      <c r="H111" s="6">
        <f t="shared" si="26"/>
        <v>-100</v>
      </c>
      <c r="I111" s="6">
        <f t="shared" si="26"/>
        <v>46</v>
      </c>
      <c r="J111" s="6">
        <f t="shared" si="26"/>
        <v>-256</v>
      </c>
      <c r="K111" s="6">
        <f t="shared" si="26"/>
        <v>-243</v>
      </c>
    </row>
    <row r="112" spans="1:11" x14ac:dyDescent="0.2">
      <c r="A112" s="10" t="s">
        <v>45</v>
      </c>
      <c r="B112" s="13"/>
      <c r="C112" s="6">
        <f t="shared" si="26"/>
        <v>-85</v>
      </c>
      <c r="D112" s="6">
        <f t="shared" si="26"/>
        <v>-859</v>
      </c>
      <c r="E112" s="6">
        <f t="shared" si="26"/>
        <v>-4569</v>
      </c>
      <c r="F112" s="6">
        <f t="shared" si="26"/>
        <v>-621</v>
      </c>
      <c r="G112" s="6">
        <f t="shared" si="26"/>
        <v>317</v>
      </c>
      <c r="H112" s="6">
        <f t="shared" si="26"/>
        <v>239</v>
      </c>
      <c r="I112" s="6">
        <f t="shared" si="26"/>
        <v>-3662</v>
      </c>
      <c r="J112" s="6">
        <f t="shared" si="26"/>
        <v>340</v>
      </c>
      <c r="K112" s="6">
        <f t="shared" si="26"/>
        <v>-65427</v>
      </c>
    </row>
    <row r="113" spans="1:11" ht="25" x14ac:dyDescent="0.2">
      <c r="A113" s="10" t="s">
        <v>46</v>
      </c>
      <c r="B113" s="13"/>
      <c r="C113" s="6">
        <f t="shared" si="26"/>
        <v>-50</v>
      </c>
      <c r="D113" s="6">
        <f t="shared" si="26"/>
        <v>-17</v>
      </c>
      <c r="E113" s="6">
        <f t="shared" si="26"/>
        <v>4</v>
      </c>
      <c r="F113" s="6">
        <f t="shared" si="26"/>
        <v>-22</v>
      </c>
      <c r="G113" s="6">
        <f t="shared" si="26"/>
        <v>1</v>
      </c>
      <c r="H113" s="6">
        <f t="shared" si="26"/>
        <v>-18</v>
      </c>
      <c r="I113" s="6">
        <f t="shared" si="26"/>
        <v>-4</v>
      </c>
      <c r="J113" s="6">
        <f t="shared" si="26"/>
        <v>-686</v>
      </c>
      <c r="K113" s="6">
        <f t="shared" si="26"/>
        <v>919</v>
      </c>
    </row>
    <row r="114" spans="1:11" x14ac:dyDescent="0.2">
      <c r="A114" s="10" t="s">
        <v>47</v>
      </c>
      <c r="B114" s="13"/>
      <c r="C114" s="6">
        <f t="shared" si="26"/>
        <v>968</v>
      </c>
      <c r="D114" s="6">
        <f t="shared" si="26"/>
        <v>121</v>
      </c>
      <c r="E114" s="6">
        <f t="shared" si="26"/>
        <v>-482</v>
      </c>
      <c r="F114" s="6">
        <f t="shared" si="26"/>
        <v>-498</v>
      </c>
      <c r="G114" s="6">
        <f t="shared" si="26"/>
        <v>-834</v>
      </c>
      <c r="H114" s="6">
        <f t="shared" si="26"/>
        <v>5</v>
      </c>
      <c r="I114" s="6">
        <f t="shared" si="26"/>
        <v>-1151</v>
      </c>
      <c r="J114" s="6">
        <f t="shared" si="26"/>
        <v>-456</v>
      </c>
      <c r="K114" s="6">
        <f t="shared" si="26"/>
        <v>-17119</v>
      </c>
    </row>
    <row r="115" spans="1:11" ht="25" x14ac:dyDescent="0.2">
      <c r="A115" s="2" t="s">
        <v>111</v>
      </c>
      <c r="B115" s="13"/>
      <c r="C115" s="6">
        <f>SUM(C109:C114)</f>
        <v>-3227</v>
      </c>
      <c r="D115" s="6">
        <f t="shared" ref="D115:K115" si="27">SUM(D109:D114)</f>
        <v>-4809</v>
      </c>
      <c r="E115" s="6">
        <f t="shared" si="27"/>
        <v>-8135</v>
      </c>
      <c r="F115" s="6">
        <f t="shared" si="27"/>
        <v>-4166</v>
      </c>
      <c r="G115" s="6">
        <f t="shared" si="27"/>
        <v>-4768</v>
      </c>
      <c r="H115" s="6">
        <f t="shared" si="27"/>
        <v>-6170</v>
      </c>
      <c r="I115" s="6">
        <f t="shared" si="27"/>
        <v>-7615</v>
      </c>
      <c r="J115" s="6">
        <f t="shared" si="27"/>
        <v>-4884</v>
      </c>
      <c r="K115" s="6">
        <f t="shared" si="27"/>
        <v>-88247</v>
      </c>
    </row>
    <row r="116" spans="1:11" x14ac:dyDescent="0.2">
      <c r="A116" s="2"/>
      <c r="B116" s="13"/>
      <c r="C116" s="6"/>
      <c r="D116" s="6"/>
      <c r="E116" s="6"/>
      <c r="F116" s="6"/>
      <c r="G116" s="6"/>
      <c r="H116" s="6"/>
      <c r="I116" s="6"/>
      <c r="J116" s="6"/>
      <c r="K116" s="6"/>
    </row>
    <row r="117" spans="1:11" ht="25" x14ac:dyDescent="0.2">
      <c r="A117" s="2" t="s">
        <v>94</v>
      </c>
      <c r="B117" s="13"/>
      <c r="C117" s="6"/>
      <c r="D117" s="6"/>
      <c r="E117" s="6"/>
      <c r="F117" s="6"/>
      <c r="G117" s="6"/>
      <c r="H117" s="6"/>
      <c r="I117" s="6"/>
      <c r="J117" s="6"/>
      <c r="K117" s="6"/>
    </row>
    <row r="118" spans="1:11" ht="49" x14ac:dyDescent="0.2">
      <c r="A118" s="11" t="s">
        <v>112</v>
      </c>
      <c r="B118" s="13"/>
      <c r="C118" s="6">
        <f>(C35+C38+C43)-(B35+B38+B43)</f>
        <v>1561</v>
      </c>
      <c r="D118" s="6">
        <f t="shared" ref="D118:K118" si="28">(D35+D38+D43)-(C35+C38+C43)</f>
        <v>347</v>
      </c>
      <c r="E118" s="6">
        <f t="shared" si="28"/>
        <v>-32</v>
      </c>
      <c r="F118" s="6">
        <f t="shared" si="28"/>
        <v>522</v>
      </c>
      <c r="G118" s="6">
        <f t="shared" si="28"/>
        <v>2456</v>
      </c>
      <c r="H118" s="6">
        <f t="shared" si="28"/>
        <v>2806</v>
      </c>
      <c r="I118" s="6">
        <f t="shared" si="28"/>
        <v>5068</v>
      </c>
      <c r="J118" s="6">
        <f t="shared" si="28"/>
        <v>-4404</v>
      </c>
      <c r="K118" s="6">
        <f t="shared" si="28"/>
        <v>26109</v>
      </c>
    </row>
    <row r="119" spans="1:11" ht="37" x14ac:dyDescent="0.2">
      <c r="A119" s="11" t="s">
        <v>58</v>
      </c>
      <c r="B119" s="13"/>
      <c r="C119" s="6">
        <f>C44-B44</f>
        <v>236</v>
      </c>
      <c r="D119" s="6">
        <f t="shared" ref="D119:K119" si="29">D44-C44</f>
        <v>-615</v>
      </c>
      <c r="E119" s="6">
        <f t="shared" si="29"/>
        <v>1799</v>
      </c>
      <c r="F119" s="6">
        <f t="shared" si="29"/>
        <v>48</v>
      </c>
      <c r="G119" s="6">
        <f t="shared" si="29"/>
        <v>-47</v>
      </c>
      <c r="H119" s="6">
        <f t="shared" si="29"/>
        <v>-372</v>
      </c>
      <c r="I119" s="6">
        <f t="shared" si="29"/>
        <v>801</v>
      </c>
      <c r="J119" s="6">
        <f t="shared" si="29"/>
        <v>-1371</v>
      </c>
      <c r="K119" s="6">
        <f t="shared" si="29"/>
        <v>4793</v>
      </c>
    </row>
    <row r="120" spans="1:11" ht="25" x14ac:dyDescent="0.2">
      <c r="A120" s="11" t="s">
        <v>59</v>
      </c>
      <c r="B120" s="13"/>
      <c r="C120" s="6">
        <f t="shared" ref="C120:K122" si="30">C45-B45</f>
        <v>0</v>
      </c>
      <c r="D120" s="6">
        <f t="shared" si="30"/>
        <v>0</v>
      </c>
      <c r="E120" s="6">
        <f t="shared" si="30"/>
        <v>0</v>
      </c>
      <c r="F120" s="6">
        <f t="shared" si="30"/>
        <v>0</v>
      </c>
      <c r="G120" s="6">
        <f t="shared" si="30"/>
        <v>0</v>
      </c>
      <c r="H120" s="6">
        <f t="shared" si="30"/>
        <v>0</v>
      </c>
      <c r="I120" s="6">
        <f t="shared" si="30"/>
        <v>0</v>
      </c>
      <c r="J120" s="6">
        <f t="shared" si="30"/>
        <v>0</v>
      </c>
      <c r="K120" s="6">
        <f t="shared" si="30"/>
        <v>0</v>
      </c>
    </row>
    <row r="121" spans="1:11" ht="25" x14ac:dyDescent="0.2">
      <c r="A121" s="11" t="s">
        <v>60</v>
      </c>
      <c r="B121" s="13"/>
      <c r="C121" s="6">
        <f t="shared" si="30"/>
        <v>627</v>
      </c>
      <c r="D121" s="6">
        <f t="shared" si="30"/>
        <v>388</v>
      </c>
      <c r="E121" s="6">
        <f t="shared" si="30"/>
        <v>-2608</v>
      </c>
      <c r="F121" s="6">
        <f t="shared" si="30"/>
        <v>1426</v>
      </c>
      <c r="G121" s="6">
        <f t="shared" si="30"/>
        <v>461</v>
      </c>
      <c r="H121" s="6">
        <f t="shared" si="30"/>
        <v>1358</v>
      </c>
      <c r="I121" s="6">
        <f t="shared" si="30"/>
        <v>-1218</v>
      </c>
      <c r="J121" s="6">
        <f t="shared" si="30"/>
        <v>134</v>
      </c>
      <c r="K121" s="6">
        <f t="shared" si="30"/>
        <v>7166</v>
      </c>
    </row>
    <row r="122" spans="1:11" ht="37" x14ac:dyDescent="0.2">
      <c r="A122" s="11" t="s">
        <v>61</v>
      </c>
      <c r="B122" s="13"/>
      <c r="C122" s="6">
        <f t="shared" si="30"/>
        <v>0</v>
      </c>
      <c r="D122" s="6">
        <f t="shared" si="30"/>
        <v>0</v>
      </c>
      <c r="E122" s="6">
        <f t="shared" si="30"/>
        <v>0</v>
      </c>
      <c r="F122" s="6">
        <f t="shared" si="30"/>
        <v>0</v>
      </c>
      <c r="G122" s="6">
        <f t="shared" si="30"/>
        <v>0</v>
      </c>
      <c r="H122" s="6">
        <f t="shared" si="30"/>
        <v>0</v>
      </c>
      <c r="I122" s="6">
        <f t="shared" si="30"/>
        <v>1148</v>
      </c>
      <c r="J122" s="6">
        <f t="shared" si="30"/>
        <v>-25</v>
      </c>
      <c r="K122" s="6">
        <f t="shared" si="30"/>
        <v>7840</v>
      </c>
    </row>
    <row r="123" spans="1:11" ht="37" x14ac:dyDescent="0.2">
      <c r="A123" s="15" t="s">
        <v>113</v>
      </c>
      <c r="B123" s="13"/>
      <c r="C123" s="6">
        <f>C138</f>
        <v>-4696</v>
      </c>
      <c r="D123" s="6">
        <f t="shared" ref="D123:K123" si="31">D138</f>
        <v>-3177</v>
      </c>
      <c r="E123" s="6">
        <f t="shared" si="31"/>
        <v>56</v>
      </c>
      <c r="F123" s="6">
        <f t="shared" si="31"/>
        <v>-7473</v>
      </c>
      <c r="G123" s="6">
        <f t="shared" si="31"/>
        <v>-7905</v>
      </c>
      <c r="H123" s="6">
        <f t="shared" si="31"/>
        <v>-10723</v>
      </c>
      <c r="I123" s="6">
        <f t="shared" si="31"/>
        <v>-11299</v>
      </c>
      <c r="J123" s="6">
        <f t="shared" si="31"/>
        <v>-4770</v>
      </c>
      <c r="K123" s="6">
        <f t="shared" si="31"/>
        <v>30003</v>
      </c>
    </row>
    <row r="124" spans="1:11" ht="37" x14ac:dyDescent="0.2">
      <c r="A124" s="2" t="s">
        <v>114</v>
      </c>
      <c r="C124" s="6">
        <f>SUM(C118:C123)</f>
        <v>-2272</v>
      </c>
      <c r="D124" s="6">
        <f t="shared" ref="D124:K124" si="32">SUM(D118:D123)</f>
        <v>-3057</v>
      </c>
      <c r="E124" s="6">
        <f t="shared" si="32"/>
        <v>-785</v>
      </c>
      <c r="F124" s="6">
        <f t="shared" si="32"/>
        <v>-5477</v>
      </c>
      <c r="G124" s="6">
        <f t="shared" si="32"/>
        <v>-5035</v>
      </c>
      <c r="H124" s="6">
        <f t="shared" si="32"/>
        <v>-6931</v>
      </c>
      <c r="I124" s="6">
        <f t="shared" si="32"/>
        <v>-5500</v>
      </c>
      <c r="J124" s="6">
        <f t="shared" si="32"/>
        <v>-10436</v>
      </c>
      <c r="K124" s="6">
        <f t="shared" si="32"/>
        <v>75911</v>
      </c>
    </row>
    <row r="125" spans="1:11" x14ac:dyDescent="0.2">
      <c r="A125" s="2"/>
      <c r="C125" s="6"/>
      <c r="D125" s="6"/>
      <c r="E125" s="6"/>
      <c r="F125" s="6"/>
      <c r="G125" s="6"/>
      <c r="H125" s="6"/>
      <c r="I125" s="6"/>
      <c r="J125" s="6"/>
      <c r="K125" s="6"/>
    </row>
    <row r="126" spans="1:11" ht="37" x14ac:dyDescent="0.2">
      <c r="A126" s="2" t="s">
        <v>115</v>
      </c>
      <c r="C126" s="6">
        <f>B12</f>
        <v>2722</v>
      </c>
      <c r="D126" s="6">
        <f t="shared" ref="D126:K126" si="33">C12</f>
        <v>3185</v>
      </c>
      <c r="E126" s="6">
        <f t="shared" si="33"/>
        <v>3387</v>
      </c>
      <c r="F126" s="6">
        <f t="shared" si="33"/>
        <v>3931</v>
      </c>
      <c r="G126" s="6">
        <f t="shared" si="33"/>
        <v>3421</v>
      </c>
      <c r="H126" s="6">
        <f t="shared" si="33"/>
        <v>4269</v>
      </c>
      <c r="I126" s="6">
        <f t="shared" si="33"/>
        <v>4610</v>
      </c>
      <c r="J126" s="6">
        <f t="shared" si="33"/>
        <v>4043</v>
      </c>
      <c r="K126" s="6">
        <f t="shared" si="33"/>
        <v>4151</v>
      </c>
    </row>
    <row r="127" spans="1:11" ht="73" x14ac:dyDescent="0.2">
      <c r="A127" s="2" t="s">
        <v>116</v>
      </c>
      <c r="C127" s="6">
        <f>C124+C115+C106</f>
        <v>463</v>
      </c>
      <c r="D127" s="6">
        <f t="shared" ref="D127:K127" si="34">D124+D115+D106</f>
        <v>202</v>
      </c>
      <c r="E127" s="6">
        <f t="shared" si="34"/>
        <v>544</v>
      </c>
      <c r="F127" s="6">
        <f t="shared" si="34"/>
        <v>-510</v>
      </c>
      <c r="G127" s="6">
        <f t="shared" si="34"/>
        <v>848</v>
      </c>
      <c r="H127" s="6">
        <f t="shared" si="34"/>
        <v>341</v>
      </c>
      <c r="I127" s="6">
        <f t="shared" si="34"/>
        <v>-567</v>
      </c>
      <c r="J127" s="6">
        <f t="shared" si="34"/>
        <v>108</v>
      </c>
      <c r="K127" s="6">
        <f t="shared" si="34"/>
        <v>1293</v>
      </c>
    </row>
    <row r="128" spans="1:11" ht="37" x14ac:dyDescent="0.2">
      <c r="A128" s="2" t="s">
        <v>117</v>
      </c>
      <c r="C128" s="6">
        <f>C12</f>
        <v>3185</v>
      </c>
      <c r="D128" s="6">
        <f t="shared" ref="D128:K128" si="35">D12</f>
        <v>3387</v>
      </c>
      <c r="E128" s="6">
        <f t="shared" si="35"/>
        <v>3931</v>
      </c>
      <c r="F128" s="6">
        <f t="shared" si="35"/>
        <v>3421</v>
      </c>
      <c r="G128" s="6">
        <f t="shared" si="35"/>
        <v>4269</v>
      </c>
      <c r="H128" s="6">
        <f t="shared" si="35"/>
        <v>4610</v>
      </c>
      <c r="I128" s="6">
        <f t="shared" si="35"/>
        <v>4043</v>
      </c>
      <c r="J128" s="6">
        <f t="shared" si="35"/>
        <v>4151</v>
      </c>
      <c r="K128" s="6">
        <f t="shared" si="35"/>
        <v>5444</v>
      </c>
    </row>
    <row r="129" spans="1:11" x14ac:dyDescent="0.2">
      <c r="A129" s="6" t="s">
        <v>118</v>
      </c>
      <c r="C129" s="6" t="s">
        <v>107</v>
      </c>
      <c r="D129" s="6" t="s">
        <v>107</v>
      </c>
      <c r="E129" s="6" t="s">
        <v>107</v>
      </c>
      <c r="F129" s="6" t="s">
        <v>107</v>
      </c>
      <c r="G129" s="6" t="s">
        <v>107</v>
      </c>
      <c r="H129" s="6" t="s">
        <v>107</v>
      </c>
      <c r="I129" s="6" t="s">
        <v>107</v>
      </c>
      <c r="J129" s="6" t="s">
        <v>107</v>
      </c>
      <c r="K129" s="6" t="s">
        <v>107</v>
      </c>
    </row>
    <row r="131" spans="1:11" ht="25" x14ac:dyDescent="0.2">
      <c r="A131" s="2" t="s">
        <v>119</v>
      </c>
      <c r="C131" s="6">
        <f>B23</f>
        <v>17806</v>
      </c>
      <c r="D131" s="6">
        <f t="shared" ref="D131:K131" si="36">C23</f>
        <v>19695</v>
      </c>
      <c r="E131" s="6">
        <f t="shared" si="36"/>
        <v>21512</v>
      </c>
      <c r="F131" s="6">
        <f t="shared" si="36"/>
        <v>22380</v>
      </c>
      <c r="G131" s="6">
        <f t="shared" si="36"/>
        <v>23332</v>
      </c>
      <c r="H131" s="6">
        <f t="shared" si="36"/>
        <v>25179</v>
      </c>
      <c r="I131" s="6">
        <f t="shared" si="36"/>
        <v>27349</v>
      </c>
      <c r="J131" s="6">
        <f t="shared" si="36"/>
        <v>28406</v>
      </c>
      <c r="K131" s="6">
        <f t="shared" si="36"/>
        <v>29540</v>
      </c>
    </row>
    <row r="132" spans="1:11" x14ac:dyDescent="0.2">
      <c r="A132" s="2" t="s">
        <v>108</v>
      </c>
      <c r="C132" s="6">
        <f>-C75</f>
        <v>-1841</v>
      </c>
      <c r="D132" s="6">
        <f t="shared" ref="D132:K132" si="37">-D75</f>
        <v>-1987</v>
      </c>
      <c r="E132" s="6">
        <f t="shared" si="37"/>
        <v>-2192</v>
      </c>
      <c r="F132" s="6">
        <f t="shared" si="37"/>
        <v>-2288</v>
      </c>
      <c r="G132" s="6">
        <f t="shared" si="37"/>
        <v>-2354</v>
      </c>
      <c r="H132" s="6">
        <f t="shared" si="37"/>
        <v>-2527</v>
      </c>
      <c r="I132" s="6">
        <f t="shared" si="37"/>
        <v>-2782</v>
      </c>
      <c r="J132" s="6">
        <f t="shared" si="37"/>
        <v>-3011</v>
      </c>
      <c r="K132" s="6">
        <f t="shared" si="37"/>
        <v>-4160</v>
      </c>
    </row>
    <row r="133" spans="1:11" ht="25" x14ac:dyDescent="0.2">
      <c r="A133" s="2" t="s">
        <v>93</v>
      </c>
      <c r="C133" s="16">
        <f>C134-(C131+C132)</f>
        <v>3730</v>
      </c>
      <c r="D133" s="16">
        <f t="shared" ref="D133:K133" si="38">D134-(D131+D132)</f>
        <v>3804</v>
      </c>
      <c r="E133" s="16">
        <f t="shared" si="38"/>
        <v>3060</v>
      </c>
      <c r="F133" s="16">
        <f t="shared" si="38"/>
        <v>3240</v>
      </c>
      <c r="G133" s="16">
        <f t="shared" si="38"/>
        <v>4201</v>
      </c>
      <c r="H133" s="16">
        <f t="shared" si="38"/>
        <v>4697</v>
      </c>
      <c r="I133" s="16">
        <f t="shared" si="38"/>
        <v>3839</v>
      </c>
      <c r="J133" s="16">
        <f t="shared" si="38"/>
        <v>4145</v>
      </c>
      <c r="K133" s="16">
        <f t="shared" si="38"/>
        <v>6223</v>
      </c>
    </row>
    <row r="134" spans="1:11" ht="25" x14ac:dyDescent="0.2">
      <c r="A134" s="2" t="s">
        <v>120</v>
      </c>
      <c r="C134" s="6">
        <f>C23</f>
        <v>19695</v>
      </c>
      <c r="D134" s="6">
        <f t="shared" ref="D134:K134" si="39">D23</f>
        <v>21512</v>
      </c>
      <c r="E134" s="6">
        <f t="shared" si="39"/>
        <v>22380</v>
      </c>
      <c r="F134" s="6">
        <f t="shared" si="39"/>
        <v>23332</v>
      </c>
      <c r="G134" s="6">
        <f t="shared" si="39"/>
        <v>25179</v>
      </c>
      <c r="H134" s="6">
        <f t="shared" si="39"/>
        <v>27349</v>
      </c>
      <c r="I134" s="6">
        <f t="shared" si="39"/>
        <v>28406</v>
      </c>
      <c r="J134" s="6">
        <f t="shared" si="39"/>
        <v>29540</v>
      </c>
      <c r="K134" s="6">
        <f t="shared" si="39"/>
        <v>31603</v>
      </c>
    </row>
    <row r="136" spans="1:11" ht="25" x14ac:dyDescent="0.2">
      <c r="A136" s="2" t="s">
        <v>121</v>
      </c>
      <c r="C136" s="6">
        <f>B60</f>
        <v>39342</v>
      </c>
      <c r="D136" s="6">
        <f t="shared" ref="D136:K136" si="40">C60</f>
        <v>39453</v>
      </c>
      <c r="E136" s="6">
        <f t="shared" si="40"/>
        <v>41958</v>
      </c>
      <c r="F136" s="6">
        <f t="shared" si="40"/>
        <v>48150</v>
      </c>
      <c r="G136" s="6">
        <f t="shared" si="40"/>
        <v>48178</v>
      </c>
      <c r="H136" s="6">
        <f t="shared" si="40"/>
        <v>48655</v>
      </c>
      <c r="I136" s="6">
        <f t="shared" si="40"/>
        <v>47323</v>
      </c>
      <c r="J136" s="6">
        <f t="shared" si="40"/>
        <v>45004</v>
      </c>
      <c r="K136" s="6">
        <f t="shared" si="40"/>
        <v>52832</v>
      </c>
    </row>
    <row r="137" spans="1:11" x14ac:dyDescent="0.2">
      <c r="A137" s="2" t="s">
        <v>91</v>
      </c>
      <c r="C137" s="6">
        <f>C96</f>
        <v>4807</v>
      </c>
      <c r="D137" s="6">
        <f t="shared" ref="D137:K137" si="41">D96</f>
        <v>5682</v>
      </c>
      <c r="E137" s="6">
        <f t="shared" si="41"/>
        <v>6136</v>
      </c>
      <c r="F137" s="6">
        <f t="shared" si="41"/>
        <v>7501</v>
      </c>
      <c r="G137" s="6">
        <f t="shared" si="41"/>
        <v>8382</v>
      </c>
      <c r="H137" s="6">
        <f t="shared" si="41"/>
        <v>9391</v>
      </c>
      <c r="I137" s="6">
        <f t="shared" si="41"/>
        <v>8980</v>
      </c>
      <c r="J137" s="6">
        <f t="shared" si="41"/>
        <v>12598</v>
      </c>
      <c r="K137" s="6">
        <f t="shared" si="41"/>
        <v>11054</v>
      </c>
    </row>
    <row r="138" spans="1:11" ht="37" x14ac:dyDescent="0.2">
      <c r="A138" s="2" t="s">
        <v>122</v>
      </c>
      <c r="C138" s="17">
        <f>C139-(C136+C137)</f>
        <v>-4696</v>
      </c>
      <c r="D138" s="17">
        <f t="shared" ref="D138:K138" si="42">D139-(D136+D137)</f>
        <v>-3177</v>
      </c>
      <c r="E138" s="17">
        <f t="shared" si="42"/>
        <v>56</v>
      </c>
      <c r="F138" s="17">
        <f t="shared" si="42"/>
        <v>-7473</v>
      </c>
      <c r="G138" s="17">
        <f t="shared" si="42"/>
        <v>-7905</v>
      </c>
      <c r="H138" s="17">
        <f t="shared" si="42"/>
        <v>-10723</v>
      </c>
      <c r="I138" s="17">
        <f t="shared" si="42"/>
        <v>-11299</v>
      </c>
      <c r="J138" s="17">
        <f t="shared" si="42"/>
        <v>-4770</v>
      </c>
      <c r="K138" s="17">
        <f t="shared" si="42"/>
        <v>30003</v>
      </c>
    </row>
    <row r="139" spans="1:11" ht="25" x14ac:dyDescent="0.2">
      <c r="A139" s="2" t="s">
        <v>123</v>
      </c>
      <c r="C139" s="6">
        <f>C60</f>
        <v>39453</v>
      </c>
      <c r="D139" s="6">
        <f t="shared" ref="D139:K139" si="43">D60</f>
        <v>41958</v>
      </c>
      <c r="E139" s="6">
        <f t="shared" si="43"/>
        <v>48150</v>
      </c>
      <c r="F139" s="6">
        <f t="shared" si="43"/>
        <v>48178</v>
      </c>
      <c r="G139" s="6">
        <f t="shared" si="43"/>
        <v>48655</v>
      </c>
      <c r="H139" s="6">
        <f t="shared" si="43"/>
        <v>47323</v>
      </c>
      <c r="I139" s="6">
        <f t="shared" si="43"/>
        <v>45004</v>
      </c>
      <c r="J139" s="6">
        <f t="shared" si="43"/>
        <v>52832</v>
      </c>
      <c r="K139" s="6">
        <f t="shared" si="43"/>
        <v>93889</v>
      </c>
    </row>
  </sheetData>
  <mergeCells count="3">
    <mergeCell ref="C1:H1"/>
    <mergeCell ref="D4:I4"/>
    <mergeCell ref="D5:I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9"/>
  <sheetViews>
    <sheetView tabSelected="1" workbookViewId="0">
      <selection activeCell="O18" sqref="O18"/>
    </sheetView>
  </sheetViews>
  <sheetFormatPr baseColWidth="10" defaultRowHeight="16" x14ac:dyDescent="0.2"/>
  <cols>
    <col min="1" max="1" width="19.33203125" customWidth="1"/>
  </cols>
  <sheetData>
    <row r="1" spans="1:11" ht="16" customHeight="1" x14ac:dyDescent="0.2">
      <c r="A1" s="1" t="s">
        <v>0</v>
      </c>
      <c r="B1" s="2"/>
      <c r="C1" s="5" t="s">
        <v>124</v>
      </c>
      <c r="D1" s="5"/>
      <c r="E1" s="5"/>
      <c r="F1" s="5"/>
      <c r="G1" s="5"/>
      <c r="H1" s="5"/>
    </row>
    <row r="2" spans="1:11" x14ac:dyDescent="0.2">
      <c r="A2" s="1" t="s">
        <v>2</v>
      </c>
      <c r="B2" s="2"/>
      <c r="C2" s="2" t="s">
        <v>125</v>
      </c>
    </row>
    <row r="3" spans="1:11" x14ac:dyDescent="0.2">
      <c r="A3" s="1" t="s">
        <v>4</v>
      </c>
      <c r="B3" s="2"/>
      <c r="C3" s="2" t="s">
        <v>126</v>
      </c>
    </row>
    <row r="4" spans="1:11" ht="16" customHeight="1" x14ac:dyDescent="0.2">
      <c r="A4" s="1" t="s">
        <v>6</v>
      </c>
      <c r="B4" s="2"/>
      <c r="C4" s="2" t="s">
        <v>127</v>
      </c>
      <c r="D4" s="5" t="s">
        <v>128</v>
      </c>
      <c r="E4" s="5"/>
      <c r="F4" s="5"/>
      <c r="G4" s="5"/>
      <c r="H4" s="5"/>
      <c r="I4" s="5"/>
    </row>
    <row r="5" spans="1:11" x14ac:dyDescent="0.2">
      <c r="A5" s="1" t="s">
        <v>9</v>
      </c>
      <c r="B5" s="2"/>
      <c r="C5" s="2" t="s">
        <v>129</v>
      </c>
      <c r="D5" s="5"/>
      <c r="E5" s="5"/>
      <c r="F5" s="5"/>
      <c r="G5" s="5"/>
      <c r="H5" s="5"/>
      <c r="I5" s="5"/>
    </row>
    <row r="9" spans="1:11" x14ac:dyDescent="0.2">
      <c r="A9" s="1" t="s">
        <v>11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18</v>
      </c>
      <c r="I9" s="4" t="s">
        <v>19</v>
      </c>
      <c r="J9" s="4" t="s">
        <v>20</v>
      </c>
      <c r="K9" s="4" t="s">
        <v>21</v>
      </c>
    </row>
    <row r="10" spans="1:11" x14ac:dyDescent="0.2">
      <c r="A10" s="1" t="s">
        <v>22</v>
      </c>
      <c r="B10" s="3" t="s">
        <v>95</v>
      </c>
      <c r="C10" s="3" t="s">
        <v>96</v>
      </c>
      <c r="D10" s="3" t="s">
        <v>97</v>
      </c>
      <c r="E10" s="3" t="s">
        <v>98</v>
      </c>
      <c r="F10" s="3" t="s">
        <v>99</v>
      </c>
      <c r="G10" s="3" t="s">
        <v>100</v>
      </c>
      <c r="H10" s="3" t="s">
        <v>101</v>
      </c>
      <c r="I10" s="3" t="s">
        <v>102</v>
      </c>
      <c r="J10" s="3" t="s">
        <v>103</v>
      </c>
      <c r="K10" s="3" t="s">
        <v>104</v>
      </c>
    </row>
    <row r="11" spans="1:11" x14ac:dyDescent="0.2">
      <c r="A11" s="2" t="s">
        <v>33</v>
      </c>
    </row>
    <row r="12" spans="1:11" x14ac:dyDescent="0.2">
      <c r="A12" s="2" t="s">
        <v>34</v>
      </c>
      <c r="B12" s="19">
        <v>6065</v>
      </c>
      <c r="C12" s="7">
        <f>B12+C127</f>
        <v>1674</v>
      </c>
      <c r="D12" s="7">
        <f t="shared" ref="D12:K12" si="0">C12+D127</f>
        <v>12415</v>
      </c>
      <c r="E12" s="7">
        <f t="shared" si="0"/>
        <v>5291</v>
      </c>
      <c r="F12" s="7">
        <f t="shared" si="0"/>
        <v>4512</v>
      </c>
      <c r="G12" s="7">
        <f t="shared" si="0"/>
        <v>2401</v>
      </c>
      <c r="H12" s="7">
        <f t="shared" si="0"/>
        <v>3398</v>
      </c>
      <c r="I12" s="7">
        <f t="shared" si="0"/>
        <v>3447</v>
      </c>
      <c r="J12" s="7">
        <f t="shared" si="0"/>
        <v>3954</v>
      </c>
      <c r="K12" s="7">
        <f t="shared" si="0"/>
        <v>7251</v>
      </c>
    </row>
    <row r="13" spans="1:11" x14ac:dyDescent="0.2">
      <c r="A13" s="8" t="s">
        <v>35</v>
      </c>
      <c r="B13" s="19">
        <v>1855</v>
      </c>
      <c r="C13" s="19">
        <v>4351</v>
      </c>
      <c r="D13" s="19">
        <v>5521</v>
      </c>
      <c r="E13" s="19">
        <v>6376</v>
      </c>
      <c r="F13" s="19">
        <v>6321</v>
      </c>
      <c r="G13" s="19">
        <v>6896</v>
      </c>
      <c r="H13" s="19">
        <v>7955</v>
      </c>
      <c r="I13" s="19">
        <v>8546</v>
      </c>
      <c r="J13" s="19">
        <v>11104</v>
      </c>
      <c r="K13" s="19">
        <v>11292</v>
      </c>
    </row>
    <row r="14" spans="1:11" x14ac:dyDescent="0.2">
      <c r="A14" s="8" t="s">
        <v>36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1:11" x14ac:dyDescent="0.2">
      <c r="A15" s="8" t="s">
        <v>37</v>
      </c>
      <c r="B15" s="19">
        <v>0</v>
      </c>
      <c r="C15" s="19">
        <v>0</v>
      </c>
      <c r="D15" s="19">
        <v>0</v>
      </c>
      <c r="E15" s="19">
        <v>928</v>
      </c>
      <c r="F15" s="19">
        <v>839</v>
      </c>
      <c r="G15" s="19">
        <v>1213</v>
      </c>
      <c r="H15" s="19">
        <v>1250</v>
      </c>
      <c r="I15" s="19">
        <v>1613</v>
      </c>
      <c r="J15" s="19">
        <v>3746</v>
      </c>
      <c r="K15" s="19">
        <v>3877</v>
      </c>
    </row>
    <row r="16" spans="1:11" x14ac:dyDescent="0.2">
      <c r="A16" s="8" t="s">
        <v>38</v>
      </c>
      <c r="B16" s="19">
        <v>966</v>
      </c>
      <c r="C16" s="19">
        <v>2548</v>
      </c>
      <c r="D16" s="19">
        <v>2055</v>
      </c>
      <c r="E16" s="19">
        <v>1480</v>
      </c>
      <c r="F16" s="19">
        <v>1859</v>
      </c>
      <c r="G16" s="19">
        <v>1793</v>
      </c>
      <c r="H16" s="19">
        <v>3758</v>
      </c>
      <c r="I16" s="19">
        <v>2454</v>
      </c>
      <c r="J16" s="19">
        <v>3044</v>
      </c>
      <c r="K16" s="19">
        <v>2972</v>
      </c>
    </row>
    <row r="17" spans="1:11" x14ac:dyDescent="0.2"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1" ht="25" x14ac:dyDescent="0.2">
      <c r="A18" s="2" t="s">
        <v>39</v>
      </c>
      <c r="B18" s="6">
        <f>SUM(B12:B16)</f>
        <v>8886</v>
      </c>
      <c r="C18" s="6">
        <f t="shared" ref="C18:K18" si="1">SUM(C12:C16)</f>
        <v>8573</v>
      </c>
      <c r="D18" s="6">
        <f t="shared" si="1"/>
        <v>19991</v>
      </c>
      <c r="E18" s="6">
        <f t="shared" si="1"/>
        <v>14075</v>
      </c>
      <c r="F18" s="6">
        <f t="shared" si="1"/>
        <v>13531</v>
      </c>
      <c r="G18" s="6">
        <f t="shared" si="1"/>
        <v>12303</v>
      </c>
      <c r="H18" s="6">
        <f t="shared" si="1"/>
        <v>16361</v>
      </c>
      <c r="I18" s="6">
        <f t="shared" si="1"/>
        <v>16060</v>
      </c>
      <c r="J18" s="6">
        <f t="shared" si="1"/>
        <v>21848</v>
      </c>
      <c r="K18" s="6">
        <f t="shared" si="1"/>
        <v>25392</v>
      </c>
    </row>
    <row r="19" spans="1:11" x14ac:dyDescent="0.2">
      <c r="B19" s="9"/>
      <c r="C19" s="9"/>
      <c r="D19" s="9"/>
      <c r="E19" s="9"/>
      <c r="F19" s="9"/>
      <c r="G19" s="9"/>
      <c r="H19" s="9"/>
      <c r="I19" s="9"/>
      <c r="J19" s="9"/>
      <c r="K19" s="9"/>
    </row>
    <row r="20" spans="1:11" ht="25" x14ac:dyDescent="0.2">
      <c r="A20" s="2" t="s">
        <v>40</v>
      </c>
      <c r="B20" s="19">
        <v>56020</v>
      </c>
      <c r="C20" s="19">
        <v>64087</v>
      </c>
      <c r="D20" s="19">
        <v>66657</v>
      </c>
      <c r="E20" s="19">
        <v>72414</v>
      </c>
      <c r="F20" s="19">
        <v>76363</v>
      </c>
      <c r="G20" s="19">
        <v>81765</v>
      </c>
      <c r="H20" s="19">
        <v>85947</v>
      </c>
      <c r="I20" s="19">
        <v>88386</v>
      </c>
      <c r="J20" s="19">
        <v>95743</v>
      </c>
      <c r="K20" s="19">
        <v>105599</v>
      </c>
    </row>
    <row r="21" spans="1:11" x14ac:dyDescent="0.2">
      <c r="A21" s="2" t="s">
        <v>41</v>
      </c>
      <c r="B21" s="19">
        <v>32505</v>
      </c>
      <c r="C21" s="19">
        <v>36528</v>
      </c>
      <c r="D21" s="19">
        <v>39425</v>
      </c>
      <c r="E21" s="19">
        <v>42574</v>
      </c>
      <c r="F21" s="19">
        <v>45410</v>
      </c>
      <c r="G21" s="19">
        <v>48100</v>
      </c>
      <c r="H21" s="19">
        <v>49694</v>
      </c>
      <c r="I21" s="19">
        <v>49916</v>
      </c>
      <c r="J21" s="19">
        <v>51306</v>
      </c>
      <c r="K21" s="19">
        <v>53239</v>
      </c>
    </row>
    <row r="22" spans="1:11" x14ac:dyDescent="0.2"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1" ht="25" x14ac:dyDescent="0.2">
      <c r="A23" s="10" t="s">
        <v>42</v>
      </c>
      <c r="B23" s="6">
        <f>B20-B21</f>
        <v>23515</v>
      </c>
      <c r="C23" s="6">
        <f t="shared" ref="C23:K23" si="2">C20-C21</f>
        <v>27559</v>
      </c>
      <c r="D23" s="6">
        <f t="shared" si="2"/>
        <v>27232</v>
      </c>
      <c r="E23" s="6">
        <f t="shared" si="2"/>
        <v>29840</v>
      </c>
      <c r="F23" s="6">
        <f t="shared" si="2"/>
        <v>30953</v>
      </c>
      <c r="G23" s="6">
        <f t="shared" si="2"/>
        <v>33665</v>
      </c>
      <c r="H23" s="6">
        <f t="shared" si="2"/>
        <v>36253</v>
      </c>
      <c r="I23" s="6">
        <f t="shared" si="2"/>
        <v>38470</v>
      </c>
      <c r="J23" s="6">
        <f t="shared" si="2"/>
        <v>44437</v>
      </c>
      <c r="K23" s="6">
        <f t="shared" si="2"/>
        <v>52360</v>
      </c>
    </row>
    <row r="24" spans="1:11" x14ac:dyDescent="0.2">
      <c r="B24" s="9"/>
      <c r="C24" s="9"/>
      <c r="D24" s="9"/>
      <c r="E24" s="9"/>
      <c r="F24" s="9"/>
      <c r="G24" s="9"/>
      <c r="H24" s="9"/>
      <c r="I24" s="9"/>
      <c r="J24" s="9"/>
      <c r="K24" s="9"/>
    </row>
    <row r="25" spans="1:11" x14ac:dyDescent="0.2">
      <c r="A25" s="10" t="s">
        <v>43</v>
      </c>
      <c r="B25" s="19">
        <v>2193</v>
      </c>
      <c r="C25" s="19">
        <v>4880</v>
      </c>
      <c r="D25" s="19">
        <v>1164</v>
      </c>
      <c r="E25" s="19">
        <v>989</v>
      </c>
      <c r="F25" s="19">
        <v>1019</v>
      </c>
      <c r="G25" s="19">
        <v>678</v>
      </c>
      <c r="H25" s="19">
        <v>2376</v>
      </c>
      <c r="I25" s="19">
        <v>3546</v>
      </c>
      <c r="J25" s="19">
        <v>4035</v>
      </c>
      <c r="K25" s="19">
        <v>5347</v>
      </c>
    </row>
    <row r="26" spans="1:11" ht="25" x14ac:dyDescent="0.2">
      <c r="A26" s="10" t="s">
        <v>44</v>
      </c>
      <c r="B26" s="19">
        <v>4477</v>
      </c>
      <c r="C26" s="19">
        <v>4974</v>
      </c>
      <c r="D26" s="19">
        <v>5161</v>
      </c>
      <c r="E26" s="19">
        <v>2781</v>
      </c>
      <c r="F26" s="19">
        <v>2116</v>
      </c>
      <c r="G26" s="19">
        <v>2546</v>
      </c>
      <c r="H26" s="19">
        <v>2871</v>
      </c>
      <c r="I26" s="19">
        <v>3385</v>
      </c>
      <c r="J26" s="19">
        <v>5247</v>
      </c>
      <c r="K26" s="19">
        <v>3673</v>
      </c>
    </row>
    <row r="27" spans="1:11" x14ac:dyDescent="0.2">
      <c r="A27" s="10" t="s">
        <v>45</v>
      </c>
      <c r="B27" s="19">
        <v>78002</v>
      </c>
      <c r="C27" s="19">
        <v>104415</v>
      </c>
      <c r="D27" s="19">
        <v>104189</v>
      </c>
      <c r="E27" s="19">
        <v>103791</v>
      </c>
      <c r="F27" s="19">
        <v>103660</v>
      </c>
      <c r="G27" s="19">
        <v>109255</v>
      </c>
      <c r="H27" s="19">
        <v>112618</v>
      </c>
      <c r="I27" s="19">
        <v>114923</v>
      </c>
      <c r="J27" s="19">
        <v>163877</v>
      </c>
      <c r="K27" s="19">
        <v>164218</v>
      </c>
    </row>
    <row r="28" spans="1:11" x14ac:dyDescent="0.2">
      <c r="A28" s="10" t="s">
        <v>46</v>
      </c>
      <c r="B28" s="19">
        <v>0</v>
      </c>
      <c r="C28" s="19">
        <v>0</v>
      </c>
      <c r="D28" s="19">
        <v>0</v>
      </c>
      <c r="E28" s="19">
        <v>4994</v>
      </c>
      <c r="F28" s="19">
        <v>5727</v>
      </c>
      <c r="G28" s="19">
        <v>5855</v>
      </c>
      <c r="H28" s="19">
        <v>7252</v>
      </c>
      <c r="I28" s="19">
        <v>7076</v>
      </c>
      <c r="J28" s="19">
        <v>7837</v>
      </c>
      <c r="K28" s="19">
        <v>8933</v>
      </c>
    </row>
    <row r="29" spans="1:11" x14ac:dyDescent="0.2">
      <c r="A29" s="10" t="s">
        <v>47</v>
      </c>
      <c r="B29" s="19">
        <v>1461</v>
      </c>
      <c r="C29" s="19">
        <v>7417</v>
      </c>
      <c r="D29" s="19">
        <v>7234</v>
      </c>
      <c r="E29" s="19">
        <v>2343</v>
      </c>
      <c r="F29" s="19">
        <v>2333</v>
      </c>
      <c r="G29" s="19">
        <v>2272</v>
      </c>
      <c r="H29" s="19">
        <v>2769</v>
      </c>
      <c r="I29" s="19">
        <v>3489</v>
      </c>
      <c r="J29" s="19">
        <v>4403</v>
      </c>
      <c r="K29" s="19">
        <v>3491</v>
      </c>
    </row>
    <row r="30" spans="1:11" x14ac:dyDescent="0.2">
      <c r="B30" s="9"/>
      <c r="C30" s="9"/>
      <c r="D30" s="9"/>
      <c r="E30" s="9"/>
      <c r="F30" s="9"/>
      <c r="G30" s="9"/>
      <c r="H30" s="9"/>
      <c r="I30" s="9"/>
      <c r="J30" s="9"/>
      <c r="K30" s="9"/>
    </row>
    <row r="31" spans="1:11" x14ac:dyDescent="0.2">
      <c r="A31" s="2" t="s">
        <v>48</v>
      </c>
      <c r="B31" s="6">
        <f>SUM(B25:B29)+B23+B18</f>
        <v>118534</v>
      </c>
      <c r="C31" s="6">
        <f t="shared" ref="C31:K31" si="3">SUM(C25:C29)+C23+C18</f>
        <v>157818</v>
      </c>
      <c r="D31" s="6">
        <f t="shared" si="3"/>
        <v>164971</v>
      </c>
      <c r="E31" s="6">
        <f t="shared" si="3"/>
        <v>158813</v>
      </c>
      <c r="F31" s="6">
        <f t="shared" si="3"/>
        <v>159339</v>
      </c>
      <c r="G31" s="6">
        <f t="shared" si="3"/>
        <v>166574</v>
      </c>
      <c r="H31" s="6">
        <f t="shared" si="3"/>
        <v>180500</v>
      </c>
      <c r="I31" s="6">
        <f t="shared" si="3"/>
        <v>186949</v>
      </c>
      <c r="J31" s="6">
        <f t="shared" si="3"/>
        <v>251684</v>
      </c>
      <c r="K31" s="6">
        <f t="shared" si="3"/>
        <v>263414</v>
      </c>
    </row>
    <row r="32" spans="1:11" x14ac:dyDescent="0.2">
      <c r="B32" s="9"/>
      <c r="C32" s="9"/>
      <c r="D32" s="9"/>
      <c r="E32" s="9"/>
      <c r="F32" s="9"/>
      <c r="G32" s="9"/>
      <c r="H32" s="9"/>
      <c r="I32" s="9"/>
      <c r="J32" s="9"/>
      <c r="K32" s="9"/>
    </row>
    <row r="33" spans="1:11" x14ac:dyDescent="0.2">
      <c r="A33" s="2" t="s">
        <v>49</v>
      </c>
      <c r="B33" s="9"/>
      <c r="C33" s="9"/>
      <c r="D33" s="9"/>
      <c r="E33" s="9"/>
      <c r="F33" s="9"/>
      <c r="G33" s="9"/>
      <c r="H33" s="9"/>
      <c r="I33" s="9"/>
      <c r="J33" s="9"/>
      <c r="K33" s="9"/>
    </row>
    <row r="34" spans="1:11" x14ac:dyDescent="0.2">
      <c r="A34" s="8" t="s">
        <v>50</v>
      </c>
      <c r="B34" s="19">
        <v>3291</v>
      </c>
      <c r="C34" s="19">
        <v>5705</v>
      </c>
      <c r="D34" s="19">
        <v>6206</v>
      </c>
      <c r="E34" s="19">
        <v>5528</v>
      </c>
      <c r="F34" s="19">
        <v>5638</v>
      </c>
      <c r="G34" s="19">
        <v>6215</v>
      </c>
      <c r="H34" s="19">
        <v>6915</v>
      </c>
      <c r="I34" s="19">
        <v>6926</v>
      </c>
      <c r="J34" s="19">
        <v>8494</v>
      </c>
      <c r="K34" s="19">
        <v>10826</v>
      </c>
    </row>
    <row r="35" spans="1:11" x14ac:dyDescent="0.2">
      <c r="A35" s="11" t="s">
        <v>51</v>
      </c>
      <c r="B35" s="1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1" x14ac:dyDescent="0.2">
      <c r="A36" s="8" t="s">
        <v>52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1" x14ac:dyDescent="0.2">
      <c r="A37" s="8" t="s">
        <v>53</v>
      </c>
      <c r="B37" s="1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</row>
    <row r="38" spans="1:11" ht="25" x14ac:dyDescent="0.2">
      <c r="A38" s="11" t="s">
        <v>54</v>
      </c>
      <c r="B38" s="19">
        <v>1800</v>
      </c>
      <c r="C38" s="19">
        <v>1367</v>
      </c>
      <c r="D38" s="19">
        <v>2376</v>
      </c>
      <c r="E38" s="19">
        <v>3280</v>
      </c>
      <c r="F38" s="19">
        <v>4217</v>
      </c>
      <c r="G38" s="19">
        <v>3627</v>
      </c>
      <c r="H38" s="19">
        <v>5480</v>
      </c>
      <c r="I38" s="19">
        <v>5134</v>
      </c>
      <c r="J38" s="19">
        <v>4398</v>
      </c>
      <c r="K38" s="19">
        <v>5167</v>
      </c>
    </row>
    <row r="39" spans="1:11" x14ac:dyDescent="0.2">
      <c r="A39" s="8" t="s">
        <v>55</v>
      </c>
      <c r="B39" s="19">
        <v>3143</v>
      </c>
      <c r="C39" s="19">
        <v>6169</v>
      </c>
      <c r="D39" s="19">
        <v>8132</v>
      </c>
      <c r="E39" s="19">
        <v>10104</v>
      </c>
      <c r="F39" s="19">
        <v>7555</v>
      </c>
      <c r="G39" s="19">
        <v>8336</v>
      </c>
      <c r="H39" s="19">
        <v>9140</v>
      </c>
      <c r="I39" s="19">
        <v>9501</v>
      </c>
      <c r="J39" s="19">
        <v>14711</v>
      </c>
      <c r="K39" s="19">
        <v>14299</v>
      </c>
    </row>
    <row r="40" spans="1:11" x14ac:dyDescent="0.2">
      <c r="B40" s="9"/>
      <c r="C40" s="9"/>
      <c r="D40" s="9"/>
      <c r="E40" s="9"/>
      <c r="F40" s="9"/>
      <c r="G40" s="9"/>
      <c r="H40" s="9"/>
      <c r="I40" s="9"/>
      <c r="J40" s="9"/>
      <c r="K40" s="9"/>
    </row>
    <row r="41" spans="1:11" ht="25" x14ac:dyDescent="0.2">
      <c r="A41" s="2" t="s">
        <v>56</v>
      </c>
      <c r="B41" s="6">
        <f>SUM(B34:B39)</f>
        <v>8234</v>
      </c>
      <c r="C41" s="6">
        <f t="shared" ref="C41:K41" si="4">SUM(C34:C39)</f>
        <v>13241</v>
      </c>
      <c r="D41" s="6">
        <f t="shared" si="4"/>
        <v>16714</v>
      </c>
      <c r="E41" s="6">
        <f t="shared" si="4"/>
        <v>18912</v>
      </c>
      <c r="F41" s="6">
        <f t="shared" si="4"/>
        <v>17410</v>
      </c>
      <c r="G41" s="6">
        <f t="shared" si="4"/>
        <v>18178</v>
      </c>
      <c r="H41" s="6">
        <f t="shared" si="4"/>
        <v>21535</v>
      </c>
      <c r="I41" s="6">
        <f t="shared" si="4"/>
        <v>21561</v>
      </c>
      <c r="J41" s="6">
        <f t="shared" si="4"/>
        <v>27603</v>
      </c>
      <c r="K41" s="6">
        <f t="shared" si="4"/>
        <v>30292</v>
      </c>
    </row>
    <row r="42" spans="1:11" x14ac:dyDescent="0.2">
      <c r="B42" s="9"/>
      <c r="C42" s="9"/>
      <c r="D42" s="9"/>
      <c r="E42" s="9"/>
      <c r="F42" s="9"/>
      <c r="G42" s="9"/>
      <c r="H42" s="9"/>
      <c r="I42" s="9"/>
      <c r="J42" s="9"/>
      <c r="K42" s="9"/>
    </row>
    <row r="43" spans="1:11" x14ac:dyDescent="0.2">
      <c r="A43" s="11" t="s">
        <v>57</v>
      </c>
      <c r="B43" s="19">
        <v>29615</v>
      </c>
      <c r="C43" s="19">
        <v>37942</v>
      </c>
      <c r="D43" s="19">
        <v>38082</v>
      </c>
      <c r="E43" s="19">
        <v>44567</v>
      </c>
      <c r="F43" s="19">
        <v>44017</v>
      </c>
      <c r="G43" s="19">
        <v>48994</v>
      </c>
      <c r="H43" s="19">
        <v>55566</v>
      </c>
      <c r="I43" s="19">
        <v>59422</v>
      </c>
      <c r="J43" s="19">
        <v>107345</v>
      </c>
      <c r="K43" s="19">
        <v>106822</v>
      </c>
    </row>
    <row r="44" spans="1:11" ht="25" x14ac:dyDescent="0.2">
      <c r="A44" s="11" t="s">
        <v>58</v>
      </c>
      <c r="B44" s="19">
        <v>28246</v>
      </c>
      <c r="C44" s="19">
        <v>29932</v>
      </c>
      <c r="D44" s="19">
        <v>30110</v>
      </c>
      <c r="E44" s="19">
        <v>31935</v>
      </c>
      <c r="F44" s="19">
        <v>32959</v>
      </c>
      <c r="G44" s="19">
        <v>33566</v>
      </c>
      <c r="H44" s="19">
        <v>34854</v>
      </c>
      <c r="I44" s="19">
        <v>24256</v>
      </c>
      <c r="J44" s="19">
        <v>27589</v>
      </c>
      <c r="K44" s="19">
        <v>28180</v>
      </c>
    </row>
    <row r="45" spans="1:11" x14ac:dyDescent="0.2">
      <c r="A45" s="11" t="s">
        <v>59</v>
      </c>
      <c r="B45" s="1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</row>
    <row r="46" spans="1:11" x14ac:dyDescent="0.2">
      <c r="A46" s="11" t="s">
        <v>60</v>
      </c>
      <c r="B46" s="19">
        <v>7862</v>
      </c>
      <c r="C46" s="19">
        <v>13034</v>
      </c>
      <c r="D46" s="19">
        <v>13271</v>
      </c>
      <c r="E46" s="19">
        <v>11384</v>
      </c>
      <c r="F46" s="19">
        <v>10819</v>
      </c>
      <c r="G46" s="19">
        <v>10637</v>
      </c>
      <c r="H46" s="19">
        <v>10925</v>
      </c>
      <c r="I46" s="19">
        <v>10904</v>
      </c>
      <c r="J46" s="19">
        <v>15329</v>
      </c>
      <c r="K46" s="19">
        <v>12874</v>
      </c>
    </row>
    <row r="47" spans="1:11" ht="25" x14ac:dyDescent="0.2">
      <c r="A47" s="11" t="s">
        <v>61</v>
      </c>
      <c r="B47" s="19">
        <v>143</v>
      </c>
      <c r="C47" s="19">
        <v>16014</v>
      </c>
      <c r="D47" s="19">
        <v>16998</v>
      </c>
      <c r="E47" s="19">
        <v>957</v>
      </c>
      <c r="F47" s="19">
        <v>1066</v>
      </c>
      <c r="G47" s="19">
        <v>1221</v>
      </c>
      <c r="H47" s="19">
        <v>1446</v>
      </c>
      <c r="I47" s="19">
        <v>1357</v>
      </c>
      <c r="J47" s="19">
        <v>1316</v>
      </c>
      <c r="K47" s="19">
        <v>1372</v>
      </c>
    </row>
    <row r="48" spans="1:11" x14ac:dyDescent="0.2">
      <c r="B48" s="9"/>
      <c r="C48" s="9"/>
      <c r="D48" s="9"/>
      <c r="E48" s="9"/>
      <c r="F48" s="9"/>
      <c r="G48" s="9"/>
      <c r="H48" s="9"/>
      <c r="I48" s="9"/>
      <c r="J48" s="9"/>
      <c r="K48" s="9"/>
    </row>
    <row r="49" spans="1:11" ht="25" x14ac:dyDescent="0.2">
      <c r="A49" s="2" t="s">
        <v>62</v>
      </c>
      <c r="B49" s="6">
        <f>SUM(B43:B47)+B41</f>
        <v>74100</v>
      </c>
      <c r="C49" s="6">
        <f t="shared" ref="C49:K49" si="5">SUM(C43:C47)+C41</f>
        <v>110163</v>
      </c>
      <c r="D49" s="6">
        <f t="shared" si="5"/>
        <v>115175</v>
      </c>
      <c r="E49" s="6">
        <f t="shared" si="5"/>
        <v>107755</v>
      </c>
      <c r="F49" s="6">
        <f t="shared" si="5"/>
        <v>106271</v>
      </c>
      <c r="G49" s="6">
        <f t="shared" si="5"/>
        <v>112596</v>
      </c>
      <c r="H49" s="6">
        <f t="shared" si="5"/>
        <v>124326</v>
      </c>
      <c r="I49" s="6">
        <f t="shared" si="5"/>
        <v>117500</v>
      </c>
      <c r="J49" s="6">
        <f t="shared" si="5"/>
        <v>179182</v>
      </c>
      <c r="K49" s="6">
        <f t="shared" si="5"/>
        <v>179540</v>
      </c>
    </row>
    <row r="50" spans="1:11" x14ac:dyDescent="0.2">
      <c r="B50" s="9"/>
      <c r="C50" s="9"/>
      <c r="D50" s="9"/>
      <c r="E50" s="9"/>
      <c r="F50" s="9"/>
      <c r="G50" s="9"/>
      <c r="H50" s="9"/>
      <c r="I50" s="9"/>
      <c r="J50" s="9"/>
      <c r="K50" s="9"/>
    </row>
    <row r="51" spans="1:11" ht="25" x14ac:dyDescent="0.2">
      <c r="A51" s="2" t="s">
        <v>63</v>
      </c>
      <c r="B51" s="9"/>
      <c r="C51" s="9"/>
      <c r="D51" s="9"/>
      <c r="E51" s="9"/>
      <c r="F51" s="9"/>
      <c r="G51" s="9"/>
      <c r="H51" s="9"/>
      <c r="I51" s="9"/>
      <c r="J51" s="9"/>
      <c r="K51" s="9"/>
    </row>
    <row r="52" spans="1:11" x14ac:dyDescent="0.2">
      <c r="A52" s="2" t="s">
        <v>64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</row>
    <row r="53" spans="1:11" x14ac:dyDescent="0.2">
      <c r="A53" s="2" t="s">
        <v>65</v>
      </c>
      <c r="B53" s="19">
        <v>32</v>
      </c>
      <c r="C53" s="19">
        <v>32</v>
      </c>
      <c r="D53" s="19">
        <v>31</v>
      </c>
      <c r="E53" s="19">
        <v>30</v>
      </c>
      <c r="F53" s="19">
        <v>30</v>
      </c>
      <c r="G53" s="19">
        <v>29</v>
      </c>
      <c r="H53" s="19">
        <v>28</v>
      </c>
      <c r="I53" s="19">
        <v>55</v>
      </c>
      <c r="J53" s="19">
        <v>54</v>
      </c>
      <c r="K53" s="19">
        <v>54</v>
      </c>
    </row>
    <row r="54" spans="1:11" x14ac:dyDescent="0.2">
      <c r="A54" s="2" t="s">
        <v>66</v>
      </c>
      <c r="B54" s="19">
        <v>39780</v>
      </c>
      <c r="C54" s="19">
        <v>40940</v>
      </c>
      <c r="D54" s="19">
        <v>40547</v>
      </c>
      <c r="E54" s="19">
        <v>38890</v>
      </c>
      <c r="F54" s="19">
        <v>38805</v>
      </c>
      <c r="G54" s="19">
        <v>38518</v>
      </c>
      <c r="H54" s="19">
        <v>38258</v>
      </c>
      <c r="I54" s="19">
        <v>37497</v>
      </c>
      <c r="J54" s="19">
        <v>37461</v>
      </c>
      <c r="K54" s="19">
        <v>38447</v>
      </c>
    </row>
    <row r="55" spans="1:11" x14ac:dyDescent="0.2">
      <c r="A55" s="2" t="s">
        <v>67</v>
      </c>
      <c r="B55" s="19">
        <v>12059</v>
      </c>
      <c r="C55" s="19">
        <v>13819</v>
      </c>
      <c r="D55" s="19">
        <v>16295</v>
      </c>
      <c r="E55" s="19">
        <v>19291</v>
      </c>
      <c r="F55" s="19">
        <v>21393</v>
      </c>
      <c r="G55" s="19">
        <v>21239</v>
      </c>
      <c r="H55" s="19">
        <v>23174</v>
      </c>
      <c r="I55" s="19">
        <v>38571</v>
      </c>
      <c r="J55" s="19">
        <v>41615</v>
      </c>
      <c r="K55" s="19">
        <v>51742</v>
      </c>
    </row>
    <row r="56" spans="1:11" x14ac:dyDescent="0.2">
      <c r="A56" s="2" t="s">
        <v>68</v>
      </c>
      <c r="B56" s="19">
        <v>-7517</v>
      </c>
      <c r="C56" s="19">
        <v>-7517</v>
      </c>
      <c r="D56" s="19">
        <v>-7517</v>
      </c>
      <c r="E56" s="19">
        <v>-7517</v>
      </c>
      <c r="F56" s="19">
        <v>-7517</v>
      </c>
      <c r="G56" s="19">
        <v>-7517</v>
      </c>
      <c r="H56" s="19">
        <v>-7517</v>
      </c>
      <c r="I56" s="19">
        <v>-7517</v>
      </c>
      <c r="J56" s="19">
        <v>-7517</v>
      </c>
      <c r="K56" s="19">
        <v>-7517</v>
      </c>
    </row>
    <row r="57" spans="1:11" ht="25" x14ac:dyDescent="0.2">
      <c r="A57" s="2" t="s">
        <v>69</v>
      </c>
      <c r="B57" s="6">
        <f>SUM(B52:B56)</f>
        <v>44354</v>
      </c>
      <c r="C57" s="6">
        <f t="shared" ref="C57:K57" si="6">SUM(C52:C56)</f>
        <v>47274</v>
      </c>
      <c r="D57" s="6">
        <f t="shared" si="6"/>
        <v>49356</v>
      </c>
      <c r="E57" s="6">
        <f t="shared" si="6"/>
        <v>50694</v>
      </c>
      <c r="F57" s="6">
        <f t="shared" si="6"/>
        <v>52711</v>
      </c>
      <c r="G57" s="6">
        <f t="shared" si="6"/>
        <v>52269</v>
      </c>
      <c r="H57" s="6">
        <f t="shared" si="6"/>
        <v>53943</v>
      </c>
      <c r="I57" s="6">
        <f t="shared" si="6"/>
        <v>68606</v>
      </c>
      <c r="J57" s="6">
        <f t="shared" si="6"/>
        <v>71613</v>
      </c>
      <c r="K57" s="6">
        <f t="shared" si="6"/>
        <v>82726</v>
      </c>
    </row>
    <row r="58" spans="1:11" ht="25" x14ac:dyDescent="0.2">
      <c r="A58" s="2" t="s">
        <v>70</v>
      </c>
      <c r="B58" s="19">
        <v>80</v>
      </c>
      <c r="C58" s="19">
        <v>381</v>
      </c>
      <c r="D58" s="19">
        <v>440</v>
      </c>
      <c r="E58" s="19">
        <v>364</v>
      </c>
      <c r="F58" s="19">
        <v>357</v>
      </c>
      <c r="G58" s="19">
        <v>1709</v>
      </c>
      <c r="H58" s="19">
        <v>2231</v>
      </c>
      <c r="I58" s="19">
        <v>843</v>
      </c>
      <c r="J58" s="19">
        <v>889</v>
      </c>
      <c r="K58" s="19">
        <v>1148</v>
      </c>
    </row>
    <row r="59" spans="1:11" x14ac:dyDescent="0.2">
      <c r="B59" s="9"/>
      <c r="C59" s="9"/>
      <c r="D59" s="9"/>
      <c r="E59" s="9"/>
      <c r="F59" s="9"/>
      <c r="G59" s="9"/>
      <c r="H59" s="9"/>
      <c r="I59" s="9"/>
      <c r="J59" s="9"/>
      <c r="K59" s="9"/>
    </row>
    <row r="60" spans="1:11" ht="25" x14ac:dyDescent="0.2">
      <c r="A60" s="2" t="s">
        <v>71</v>
      </c>
      <c r="B60" s="6">
        <f>B57+B58</f>
        <v>44434</v>
      </c>
      <c r="C60" s="6">
        <f t="shared" ref="C60:K60" si="7">C57+C58</f>
        <v>47655</v>
      </c>
      <c r="D60" s="6">
        <f t="shared" si="7"/>
        <v>49796</v>
      </c>
      <c r="E60" s="6">
        <f t="shared" si="7"/>
        <v>51058</v>
      </c>
      <c r="F60" s="6">
        <f t="shared" si="7"/>
        <v>53068</v>
      </c>
      <c r="G60" s="6">
        <f t="shared" si="7"/>
        <v>53978</v>
      </c>
      <c r="H60" s="6">
        <f t="shared" si="7"/>
        <v>56174</v>
      </c>
      <c r="I60" s="6">
        <f t="shared" si="7"/>
        <v>69449</v>
      </c>
      <c r="J60" s="6">
        <f t="shared" si="7"/>
        <v>72502</v>
      </c>
      <c r="K60" s="6">
        <f t="shared" si="7"/>
        <v>83874</v>
      </c>
    </row>
    <row r="61" spans="1:11" x14ac:dyDescent="0.2">
      <c r="B61" s="9"/>
      <c r="C61" s="9"/>
      <c r="D61" s="9"/>
      <c r="E61" s="9"/>
      <c r="F61" s="9"/>
      <c r="G61" s="9"/>
      <c r="H61" s="9"/>
      <c r="I61" s="9"/>
      <c r="J61" s="9"/>
      <c r="K61" s="9"/>
    </row>
    <row r="62" spans="1:11" ht="37" x14ac:dyDescent="0.2">
      <c r="A62" s="2" t="s">
        <v>72</v>
      </c>
      <c r="B62" s="6">
        <f>B60+B49</f>
        <v>118534</v>
      </c>
      <c r="C62" s="6">
        <f t="shared" ref="C62:K62" si="8">C60+C49</f>
        <v>157818</v>
      </c>
      <c r="D62" s="6">
        <f t="shared" si="8"/>
        <v>164971</v>
      </c>
      <c r="E62" s="6">
        <f t="shared" si="8"/>
        <v>158813</v>
      </c>
      <c r="F62" s="6">
        <f t="shared" si="8"/>
        <v>159339</v>
      </c>
      <c r="G62" s="6">
        <f t="shared" si="8"/>
        <v>166574</v>
      </c>
      <c r="H62" s="6">
        <f t="shared" si="8"/>
        <v>180500</v>
      </c>
      <c r="I62" s="6">
        <f t="shared" si="8"/>
        <v>186949</v>
      </c>
      <c r="J62" s="6">
        <f t="shared" si="8"/>
        <v>251684</v>
      </c>
      <c r="K62" s="6">
        <f t="shared" si="8"/>
        <v>263414</v>
      </c>
    </row>
    <row r="63" spans="1:11" x14ac:dyDescent="0.2">
      <c r="B63" s="12" t="b">
        <f>ROUND(B62,0)=ROUND(B31,0)</f>
        <v>1</v>
      </c>
      <c r="C63" s="12" t="b">
        <f t="shared" ref="C63:K63" si="9">ROUND(C62,0)=ROUND(C31,0)</f>
        <v>1</v>
      </c>
      <c r="D63" s="12" t="b">
        <f t="shared" si="9"/>
        <v>1</v>
      </c>
      <c r="E63" s="12" t="b">
        <f t="shared" si="9"/>
        <v>1</v>
      </c>
      <c r="F63" s="12" t="b">
        <f t="shared" si="9"/>
        <v>1</v>
      </c>
      <c r="G63" s="12" t="b">
        <f t="shared" si="9"/>
        <v>1</v>
      </c>
      <c r="H63" s="12" t="b">
        <f t="shared" si="9"/>
        <v>1</v>
      </c>
      <c r="I63" s="12" t="b">
        <f t="shared" si="9"/>
        <v>1</v>
      </c>
      <c r="J63" s="12" t="b">
        <f t="shared" si="9"/>
        <v>1</v>
      </c>
      <c r="K63" s="12" t="b">
        <f t="shared" si="9"/>
        <v>1</v>
      </c>
    </row>
    <row r="65" spans="1:11" ht="25" x14ac:dyDescent="0.2">
      <c r="A65" s="4" t="s">
        <v>73</v>
      </c>
    </row>
    <row r="66" spans="1:11" x14ac:dyDescent="0.2">
      <c r="A66" s="1" t="s">
        <v>11</v>
      </c>
      <c r="B66" s="4" t="s">
        <v>12</v>
      </c>
      <c r="C66" s="4" t="s">
        <v>13</v>
      </c>
      <c r="D66" s="4" t="s">
        <v>14</v>
      </c>
      <c r="E66" s="4" t="s">
        <v>15</v>
      </c>
      <c r="F66" s="4" t="s">
        <v>16</v>
      </c>
      <c r="G66" s="4" t="s">
        <v>17</v>
      </c>
      <c r="H66" s="4" t="s">
        <v>18</v>
      </c>
      <c r="I66" s="4" t="s">
        <v>19</v>
      </c>
      <c r="J66" s="4" t="s">
        <v>20</v>
      </c>
      <c r="K66" s="4" t="s">
        <v>21</v>
      </c>
    </row>
    <row r="67" spans="1:11" x14ac:dyDescent="0.2">
      <c r="A67" s="1" t="s">
        <v>22</v>
      </c>
      <c r="B67" s="20" t="s">
        <v>95</v>
      </c>
      <c r="C67" s="20" t="s">
        <v>96</v>
      </c>
      <c r="D67" s="20" t="s">
        <v>97</v>
      </c>
      <c r="E67" s="20" t="s">
        <v>98</v>
      </c>
      <c r="F67" s="20" t="s">
        <v>99</v>
      </c>
      <c r="G67" s="20" t="s">
        <v>100</v>
      </c>
      <c r="H67" s="20" t="s">
        <v>101</v>
      </c>
      <c r="I67" s="20" t="s">
        <v>102</v>
      </c>
      <c r="J67" s="20" t="s">
        <v>103</v>
      </c>
      <c r="K67" s="20" t="s">
        <v>104</v>
      </c>
    </row>
    <row r="68" spans="1:11" x14ac:dyDescent="0.2">
      <c r="A68" s="2" t="s">
        <v>74</v>
      </c>
      <c r="B68" s="19">
        <v>37937</v>
      </c>
      <c r="C68" s="19">
        <v>55842</v>
      </c>
      <c r="D68" s="19">
        <v>62570</v>
      </c>
      <c r="E68" s="19">
        <v>64657</v>
      </c>
      <c r="F68" s="19">
        <v>68775</v>
      </c>
      <c r="G68" s="19">
        <v>74510</v>
      </c>
      <c r="H68" s="19">
        <v>80403</v>
      </c>
      <c r="I68" s="19">
        <v>84526</v>
      </c>
      <c r="J68" s="19">
        <v>94507</v>
      </c>
      <c r="K68" s="19">
        <v>108942</v>
      </c>
    </row>
    <row r="69" spans="1:11" x14ac:dyDescent="0.2">
      <c r="A69" s="2" t="s">
        <v>75</v>
      </c>
      <c r="B69" s="19">
        <v>15170</v>
      </c>
      <c r="C69" s="19">
        <v>37330</v>
      </c>
      <c r="D69" s="19">
        <v>42593</v>
      </c>
      <c r="E69" s="19">
        <v>43149</v>
      </c>
      <c r="F69" s="19">
        <v>45615</v>
      </c>
      <c r="G69" s="19">
        <v>49654</v>
      </c>
      <c r="H69" s="19">
        <v>53925</v>
      </c>
      <c r="I69" s="19">
        <v>56464</v>
      </c>
      <c r="J69" s="19">
        <v>64308</v>
      </c>
      <c r="K69" s="19">
        <v>74684</v>
      </c>
    </row>
    <row r="70" spans="1:11" x14ac:dyDescent="0.2">
      <c r="B70" s="9"/>
      <c r="C70" s="9"/>
      <c r="D70" s="9"/>
      <c r="E70" s="9"/>
      <c r="F70" s="9"/>
      <c r="G70" s="9"/>
      <c r="H70" s="9"/>
      <c r="I70" s="9"/>
      <c r="J70" s="9"/>
      <c r="K70" s="9"/>
    </row>
    <row r="71" spans="1:11" x14ac:dyDescent="0.2">
      <c r="A71" s="2" t="s">
        <v>76</v>
      </c>
      <c r="B71" s="6">
        <f>B68-B69</f>
        <v>22767</v>
      </c>
      <c r="C71" s="6">
        <f t="shared" ref="C71:K71" si="10">C68-C69</f>
        <v>18512</v>
      </c>
      <c r="D71" s="6">
        <f t="shared" si="10"/>
        <v>19977</v>
      </c>
      <c r="E71" s="6">
        <f t="shared" si="10"/>
        <v>21508</v>
      </c>
      <c r="F71" s="6">
        <f t="shared" si="10"/>
        <v>23160</v>
      </c>
      <c r="G71" s="6">
        <f t="shared" si="10"/>
        <v>24856</v>
      </c>
      <c r="H71" s="6">
        <f t="shared" si="10"/>
        <v>26478</v>
      </c>
      <c r="I71" s="6">
        <f t="shared" si="10"/>
        <v>28062</v>
      </c>
      <c r="J71" s="6">
        <f t="shared" si="10"/>
        <v>30199</v>
      </c>
      <c r="K71" s="6">
        <f t="shared" si="10"/>
        <v>34258</v>
      </c>
    </row>
    <row r="72" spans="1:11" ht="25" x14ac:dyDescent="0.2">
      <c r="A72" s="2" t="s">
        <v>77</v>
      </c>
      <c r="B72" s="19">
        <v>8091</v>
      </c>
      <c r="C72" s="19"/>
      <c r="D72" s="19"/>
      <c r="E72" s="19"/>
      <c r="F72" s="19"/>
      <c r="G72" s="19"/>
      <c r="H72" s="19"/>
      <c r="I72" s="19"/>
      <c r="J72" s="19"/>
      <c r="K72" s="19"/>
    </row>
    <row r="73" spans="1:11" x14ac:dyDescent="0.2">
      <c r="B73" s="9"/>
      <c r="C73" s="9"/>
      <c r="D73" s="9"/>
      <c r="E73" s="9"/>
      <c r="F73" s="9"/>
      <c r="G73" s="9"/>
      <c r="H73" s="9"/>
      <c r="I73" s="9"/>
      <c r="J73" s="9"/>
      <c r="K73" s="9"/>
    </row>
    <row r="74" spans="1:11" ht="37" x14ac:dyDescent="0.2">
      <c r="A74" s="2" t="s">
        <v>78</v>
      </c>
      <c r="B74" s="6">
        <f>B71-B72</f>
        <v>14676</v>
      </c>
      <c r="C74" s="6">
        <f t="shared" ref="C74:K74" si="11">C71-C72</f>
        <v>18512</v>
      </c>
      <c r="D74" s="6">
        <f t="shared" si="11"/>
        <v>19977</v>
      </c>
      <c r="E74" s="6">
        <f t="shared" si="11"/>
        <v>21508</v>
      </c>
      <c r="F74" s="6">
        <f t="shared" si="11"/>
        <v>23160</v>
      </c>
      <c r="G74" s="6">
        <f t="shared" si="11"/>
        <v>24856</v>
      </c>
      <c r="H74" s="6">
        <f t="shared" si="11"/>
        <v>26478</v>
      </c>
      <c r="I74" s="6">
        <f t="shared" si="11"/>
        <v>28062</v>
      </c>
      <c r="J74" s="6">
        <f t="shared" si="11"/>
        <v>30199</v>
      </c>
      <c r="K74" s="6">
        <f t="shared" si="11"/>
        <v>34258</v>
      </c>
    </row>
    <row r="75" spans="1:11" ht="25" x14ac:dyDescent="0.2">
      <c r="A75" s="2" t="s">
        <v>79</v>
      </c>
      <c r="B75" s="19">
        <v>6540</v>
      </c>
      <c r="C75" s="19">
        <v>7636</v>
      </c>
      <c r="D75" s="19">
        <v>7798</v>
      </c>
      <c r="E75" s="19">
        <v>7871</v>
      </c>
      <c r="F75" s="19">
        <v>8019</v>
      </c>
      <c r="G75" s="19">
        <v>8660</v>
      </c>
      <c r="H75" s="19">
        <v>9558</v>
      </c>
      <c r="I75" s="19">
        <v>10267</v>
      </c>
      <c r="J75" s="19">
        <v>11017</v>
      </c>
      <c r="K75" s="19">
        <v>12953</v>
      </c>
    </row>
    <row r="76" spans="1:11" x14ac:dyDescent="0.2">
      <c r="B76" s="9"/>
      <c r="C76" s="9"/>
      <c r="D76" s="9"/>
      <c r="E76" s="9"/>
      <c r="F76" s="9"/>
      <c r="G76" s="9"/>
      <c r="H76" s="9"/>
      <c r="I76" s="9"/>
      <c r="J76" s="9"/>
      <c r="K76" s="9"/>
    </row>
    <row r="77" spans="1:11" ht="37" x14ac:dyDescent="0.2">
      <c r="A77" s="2" t="s">
        <v>80</v>
      </c>
      <c r="B77" s="6">
        <f>B74-B75</f>
        <v>8136</v>
      </c>
      <c r="C77" s="6">
        <f t="shared" ref="C77:K77" si="12">C74-C75</f>
        <v>10876</v>
      </c>
      <c r="D77" s="6">
        <f t="shared" si="12"/>
        <v>12179</v>
      </c>
      <c r="E77" s="6">
        <f t="shared" si="12"/>
        <v>13637</v>
      </c>
      <c r="F77" s="6">
        <f t="shared" si="12"/>
        <v>15141</v>
      </c>
      <c r="G77" s="6">
        <f t="shared" si="12"/>
        <v>16196</v>
      </c>
      <c r="H77" s="6">
        <f t="shared" si="12"/>
        <v>16920</v>
      </c>
      <c r="I77" s="6">
        <f t="shared" si="12"/>
        <v>17795</v>
      </c>
      <c r="J77" s="6">
        <f t="shared" si="12"/>
        <v>19182</v>
      </c>
      <c r="K77" s="6">
        <f t="shared" si="12"/>
        <v>21305</v>
      </c>
    </row>
    <row r="78" spans="1:11" x14ac:dyDescent="0.2">
      <c r="A78" s="2" t="s">
        <v>81</v>
      </c>
      <c r="B78" s="19">
        <v>2149</v>
      </c>
      <c r="C78" s="19">
        <v>2505</v>
      </c>
      <c r="D78" s="19">
        <v>2521</v>
      </c>
      <c r="E78" s="19">
        <v>2574</v>
      </c>
      <c r="F78" s="19">
        <v>2617</v>
      </c>
      <c r="G78" s="19">
        <v>2655</v>
      </c>
      <c r="H78" s="19">
        <v>2982</v>
      </c>
      <c r="I78" s="19">
        <v>3137</v>
      </c>
      <c r="J78" s="19">
        <v>3479</v>
      </c>
      <c r="K78" s="19">
        <v>4511</v>
      </c>
    </row>
    <row r="79" spans="1:11" ht="25" x14ac:dyDescent="0.2">
      <c r="A79" s="2" t="s">
        <v>82</v>
      </c>
      <c r="B79" s="19">
        <v>160</v>
      </c>
      <c r="C79" s="19">
        <v>7</v>
      </c>
      <c r="D79" s="19">
        <v>1951</v>
      </c>
      <c r="E79" s="19">
        <v>254</v>
      </c>
      <c r="F79" s="19">
        <v>151</v>
      </c>
      <c r="G79" s="19">
        <v>-164</v>
      </c>
      <c r="H79" s="19">
        <v>251</v>
      </c>
      <c r="I79" s="19">
        <v>472</v>
      </c>
      <c r="J79" s="19">
        <v>-229</v>
      </c>
      <c r="K79" s="19">
        <v>309</v>
      </c>
    </row>
    <row r="80" spans="1:11" x14ac:dyDescent="0.2">
      <c r="A80" s="2" t="s">
        <v>83</v>
      </c>
      <c r="B80" s="19">
        <v>-43</v>
      </c>
      <c r="C80" s="19">
        <v>-171</v>
      </c>
      <c r="D80" s="19">
        <v>0</v>
      </c>
      <c r="E80" s="19">
        <v>-202</v>
      </c>
      <c r="F80" s="19">
        <v>-210</v>
      </c>
      <c r="G80" s="19">
        <v>-5</v>
      </c>
      <c r="H80" s="19">
        <v>164</v>
      </c>
      <c r="I80" s="19">
        <v>192</v>
      </c>
      <c r="J80" s="19">
        <v>-232</v>
      </c>
      <c r="K80" s="19">
        <v>-107</v>
      </c>
    </row>
    <row r="81" spans="1:11" x14ac:dyDescent="0.2">
      <c r="B81" s="6"/>
      <c r="C81" s="6"/>
      <c r="D81" s="6"/>
      <c r="E81" s="6"/>
      <c r="F81" s="6"/>
      <c r="G81" s="6"/>
      <c r="H81" s="6"/>
      <c r="I81" s="6"/>
      <c r="J81" s="6"/>
      <c r="K81" s="6"/>
    </row>
    <row r="82" spans="1:11" x14ac:dyDescent="0.2">
      <c r="A82" s="2" t="s">
        <v>84</v>
      </c>
      <c r="B82" s="6">
        <f>B77-B78+B79+B80</f>
        <v>6104</v>
      </c>
      <c r="C82" s="6">
        <f t="shared" ref="C82:K82" si="13">C77-C78+C79+C80</f>
        <v>8207</v>
      </c>
      <c r="D82" s="6">
        <f t="shared" si="13"/>
        <v>11609</v>
      </c>
      <c r="E82" s="6">
        <f t="shared" si="13"/>
        <v>11115</v>
      </c>
      <c r="F82" s="6">
        <f t="shared" si="13"/>
        <v>12465</v>
      </c>
      <c r="G82" s="6">
        <f t="shared" si="13"/>
        <v>13372</v>
      </c>
      <c r="H82" s="6">
        <f t="shared" si="13"/>
        <v>14353</v>
      </c>
      <c r="I82" s="6">
        <f t="shared" si="13"/>
        <v>15322</v>
      </c>
      <c r="J82" s="6">
        <f t="shared" si="13"/>
        <v>15242</v>
      </c>
      <c r="K82" s="6">
        <f t="shared" si="13"/>
        <v>16996</v>
      </c>
    </row>
    <row r="83" spans="1:11" x14ac:dyDescent="0.2">
      <c r="A83" s="2" t="s">
        <v>85</v>
      </c>
      <c r="B83" s="21">
        <v>2436</v>
      </c>
      <c r="C83" s="21">
        <v>3050</v>
      </c>
      <c r="D83" s="21">
        <v>3744</v>
      </c>
      <c r="E83" s="21">
        <v>3980</v>
      </c>
      <c r="F83" s="21">
        <v>3873</v>
      </c>
      <c r="G83" s="21">
        <v>4959</v>
      </c>
      <c r="H83" s="21">
        <v>5308</v>
      </c>
      <c r="I83" s="21">
        <v>-7578</v>
      </c>
      <c r="J83" s="21">
        <v>3380</v>
      </c>
      <c r="K83" s="21">
        <v>3673</v>
      </c>
    </row>
    <row r="84" spans="1:11" x14ac:dyDescent="0.2">
      <c r="A84" s="2" t="s">
        <v>86</v>
      </c>
      <c r="B84" s="21">
        <v>33</v>
      </c>
      <c r="C84" s="21">
        <v>997</v>
      </c>
      <c r="D84" s="21">
        <v>1662</v>
      </c>
      <c r="E84" s="21">
        <v>319</v>
      </c>
      <c r="F84" s="21">
        <v>212</v>
      </c>
      <c r="G84" s="21">
        <v>250</v>
      </c>
      <c r="H84" s="21">
        <v>350</v>
      </c>
      <c r="I84" s="21">
        <v>186</v>
      </c>
      <c r="J84" s="21">
        <v>131</v>
      </c>
      <c r="K84" s="21">
        <v>266</v>
      </c>
    </row>
    <row r="85" spans="1:11" x14ac:dyDescent="0.2">
      <c r="A85" s="2" t="s">
        <v>87</v>
      </c>
      <c r="B85" s="21">
        <v>3635</v>
      </c>
      <c r="C85" s="21">
        <v>4160</v>
      </c>
      <c r="D85" s="21">
        <v>6203</v>
      </c>
      <c r="E85" s="21">
        <v>6816</v>
      </c>
      <c r="F85" s="21">
        <v>8380</v>
      </c>
      <c r="G85" s="21">
        <v>8163</v>
      </c>
      <c r="H85" s="21">
        <v>8695</v>
      </c>
      <c r="I85" s="21">
        <v>22714</v>
      </c>
      <c r="J85" s="21">
        <v>11731</v>
      </c>
      <c r="K85" s="21">
        <v>13057</v>
      </c>
    </row>
    <row r="86" spans="1:11" x14ac:dyDescent="0.2">
      <c r="A86" s="2" t="s">
        <v>88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</row>
    <row r="87" spans="1:11" x14ac:dyDescent="0.2">
      <c r="A87" s="2" t="s">
        <v>89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</row>
    <row r="88" spans="1:11" x14ac:dyDescent="0.2">
      <c r="B88" s="9"/>
      <c r="C88" s="9"/>
      <c r="D88" s="9"/>
      <c r="E88" s="9"/>
      <c r="F88" s="9"/>
      <c r="G88" s="9"/>
      <c r="H88" s="9"/>
      <c r="I88" s="9"/>
      <c r="J88" s="9"/>
      <c r="K88" s="9"/>
    </row>
    <row r="89" spans="1:11" x14ac:dyDescent="0.2">
      <c r="A89" s="2" t="s">
        <v>90</v>
      </c>
      <c r="B89" s="6">
        <f>B85+B86+B87</f>
        <v>3635</v>
      </c>
      <c r="C89" s="6">
        <f t="shared" ref="C89:K89" si="14">C85+C86+C87</f>
        <v>4160</v>
      </c>
      <c r="D89" s="6">
        <f t="shared" si="14"/>
        <v>6203</v>
      </c>
      <c r="E89" s="6">
        <f t="shared" si="14"/>
        <v>6816</v>
      </c>
      <c r="F89" s="6">
        <f t="shared" si="14"/>
        <v>8380</v>
      </c>
      <c r="G89" s="6">
        <f t="shared" si="14"/>
        <v>8163</v>
      </c>
      <c r="H89" s="6">
        <f t="shared" si="14"/>
        <v>8695</v>
      </c>
      <c r="I89" s="6">
        <f t="shared" si="14"/>
        <v>22714</v>
      </c>
      <c r="J89" s="6">
        <f t="shared" si="14"/>
        <v>11731</v>
      </c>
      <c r="K89" s="6">
        <f t="shared" si="14"/>
        <v>13057</v>
      </c>
    </row>
    <row r="90" spans="1:11" x14ac:dyDescent="0.2">
      <c r="B90" s="21">
        <v>3635</v>
      </c>
      <c r="C90" s="21">
        <v>4160</v>
      </c>
      <c r="D90" s="21">
        <v>6203</v>
      </c>
      <c r="E90" s="21">
        <v>6816</v>
      </c>
      <c r="F90" s="21">
        <v>8380</v>
      </c>
      <c r="G90" s="21">
        <v>8163</v>
      </c>
      <c r="H90" s="21">
        <v>8695</v>
      </c>
      <c r="I90" s="21">
        <v>22714</v>
      </c>
      <c r="J90" s="21">
        <v>11731</v>
      </c>
      <c r="K90" s="21">
        <v>13057</v>
      </c>
    </row>
    <row r="91" spans="1:11" x14ac:dyDescent="0.2">
      <c r="A91" s="12"/>
      <c r="B91" s="12" t="b">
        <f>B89=B90</f>
        <v>1</v>
      </c>
      <c r="C91" s="12" t="b">
        <f t="shared" ref="C91:K91" si="15">C89=C90</f>
        <v>1</v>
      </c>
      <c r="D91" s="12" t="b">
        <f t="shared" si="15"/>
        <v>1</v>
      </c>
      <c r="E91" s="12" t="b">
        <f t="shared" si="15"/>
        <v>1</v>
      </c>
      <c r="F91" s="12" t="b">
        <f t="shared" si="15"/>
        <v>1</v>
      </c>
      <c r="G91" s="12" t="b">
        <f t="shared" si="15"/>
        <v>1</v>
      </c>
      <c r="H91" s="12" t="b">
        <f t="shared" si="15"/>
        <v>1</v>
      </c>
      <c r="I91" s="12" t="b">
        <f t="shared" si="15"/>
        <v>1</v>
      </c>
      <c r="J91" s="12" t="b">
        <f t="shared" si="15"/>
        <v>1</v>
      </c>
      <c r="K91" s="12" t="b">
        <f t="shared" si="15"/>
        <v>1</v>
      </c>
    </row>
    <row r="94" spans="1:11" ht="25" x14ac:dyDescent="0.2">
      <c r="A94" s="2" t="s">
        <v>105</v>
      </c>
      <c r="B94" s="13"/>
      <c r="C94" s="13"/>
      <c r="D94" s="13"/>
      <c r="E94" s="13"/>
      <c r="F94" s="13"/>
    </row>
    <row r="95" spans="1:11" ht="25" x14ac:dyDescent="0.2">
      <c r="A95" s="2" t="s">
        <v>106</v>
      </c>
      <c r="B95" s="13"/>
      <c r="C95" s="13"/>
      <c r="D95" s="13"/>
      <c r="E95" s="13"/>
      <c r="F95" s="13" t="s">
        <v>107</v>
      </c>
    </row>
    <row r="96" spans="1:11" x14ac:dyDescent="0.2">
      <c r="A96" s="2" t="s">
        <v>91</v>
      </c>
      <c r="B96" s="13"/>
      <c r="C96" s="6">
        <f>C89</f>
        <v>4160</v>
      </c>
      <c r="D96" s="6">
        <f t="shared" ref="D96:K96" si="16">D89</f>
        <v>6203</v>
      </c>
      <c r="E96" s="6">
        <f t="shared" si="16"/>
        <v>6816</v>
      </c>
      <c r="F96" s="6">
        <f t="shared" si="16"/>
        <v>8380</v>
      </c>
      <c r="G96" s="6">
        <f t="shared" si="16"/>
        <v>8163</v>
      </c>
      <c r="H96" s="6">
        <f t="shared" si="16"/>
        <v>8695</v>
      </c>
      <c r="I96" s="6">
        <f t="shared" si="16"/>
        <v>22714</v>
      </c>
      <c r="J96" s="6">
        <f t="shared" si="16"/>
        <v>11731</v>
      </c>
      <c r="K96" s="6">
        <f t="shared" si="16"/>
        <v>13057</v>
      </c>
    </row>
    <row r="97" spans="1:11" x14ac:dyDescent="0.2">
      <c r="A97" s="2" t="s">
        <v>108</v>
      </c>
      <c r="B97" s="13"/>
      <c r="C97" s="6">
        <f>C75</f>
        <v>7636</v>
      </c>
      <c r="D97" s="6">
        <f t="shared" ref="D97:K97" si="17">D75</f>
        <v>7798</v>
      </c>
      <c r="E97" s="6">
        <f t="shared" si="17"/>
        <v>7871</v>
      </c>
      <c r="F97" s="6">
        <f t="shared" si="17"/>
        <v>8019</v>
      </c>
      <c r="G97" s="6">
        <f t="shared" si="17"/>
        <v>8660</v>
      </c>
      <c r="H97" s="6">
        <f t="shared" si="17"/>
        <v>9558</v>
      </c>
      <c r="I97" s="6">
        <f t="shared" si="17"/>
        <v>10267</v>
      </c>
      <c r="J97" s="6">
        <f t="shared" si="17"/>
        <v>11017</v>
      </c>
      <c r="K97" s="6">
        <f t="shared" si="17"/>
        <v>12953</v>
      </c>
    </row>
    <row r="98" spans="1:11" ht="25" x14ac:dyDescent="0.2">
      <c r="A98" s="8" t="s">
        <v>35</v>
      </c>
      <c r="B98" s="13"/>
      <c r="C98" s="6">
        <f>(B13-C13)</f>
        <v>-2496</v>
      </c>
      <c r="D98" s="6">
        <f t="shared" ref="D98:K98" si="18">(C13-D13)</f>
        <v>-1170</v>
      </c>
      <c r="E98" s="6">
        <f t="shared" si="18"/>
        <v>-855</v>
      </c>
      <c r="F98" s="6">
        <f t="shared" si="18"/>
        <v>55</v>
      </c>
      <c r="G98" s="6">
        <f t="shared" si="18"/>
        <v>-575</v>
      </c>
      <c r="H98" s="6">
        <f t="shared" si="18"/>
        <v>-1059</v>
      </c>
      <c r="I98" s="6">
        <f t="shared" si="18"/>
        <v>-591</v>
      </c>
      <c r="J98" s="6">
        <f t="shared" si="18"/>
        <v>-2558</v>
      </c>
      <c r="K98" s="6">
        <f t="shared" si="18"/>
        <v>-188</v>
      </c>
    </row>
    <row r="99" spans="1:11" ht="25" x14ac:dyDescent="0.2">
      <c r="A99" s="8" t="s">
        <v>36</v>
      </c>
      <c r="B99" s="13"/>
      <c r="C99" s="6">
        <f t="shared" ref="C99:K101" si="19">(B14-C14)</f>
        <v>0</v>
      </c>
      <c r="D99" s="6">
        <f t="shared" si="19"/>
        <v>0</v>
      </c>
      <c r="E99" s="6">
        <f t="shared" si="19"/>
        <v>0</v>
      </c>
      <c r="F99" s="6">
        <f t="shared" si="19"/>
        <v>0</v>
      </c>
      <c r="G99" s="6">
        <f t="shared" si="19"/>
        <v>0</v>
      </c>
      <c r="H99" s="6">
        <f t="shared" si="19"/>
        <v>0</v>
      </c>
      <c r="I99" s="6">
        <f t="shared" si="19"/>
        <v>0</v>
      </c>
      <c r="J99" s="6">
        <f t="shared" si="19"/>
        <v>0</v>
      </c>
      <c r="K99" s="6">
        <f t="shared" si="19"/>
        <v>0</v>
      </c>
    </row>
    <row r="100" spans="1:11" ht="25" x14ac:dyDescent="0.2">
      <c r="A100" s="8" t="s">
        <v>37</v>
      </c>
      <c r="B100" s="13"/>
      <c r="C100" s="6">
        <f t="shared" si="19"/>
        <v>0</v>
      </c>
      <c r="D100" s="6">
        <f t="shared" si="19"/>
        <v>0</v>
      </c>
      <c r="E100" s="6">
        <f t="shared" si="19"/>
        <v>-928</v>
      </c>
      <c r="F100" s="6">
        <f t="shared" si="19"/>
        <v>89</v>
      </c>
      <c r="G100" s="6">
        <f t="shared" si="19"/>
        <v>-374</v>
      </c>
      <c r="H100" s="6">
        <f t="shared" si="19"/>
        <v>-37</v>
      </c>
      <c r="I100" s="6">
        <f t="shared" si="19"/>
        <v>-363</v>
      </c>
      <c r="J100" s="6">
        <f t="shared" si="19"/>
        <v>-2133</v>
      </c>
      <c r="K100" s="6">
        <f t="shared" si="19"/>
        <v>-131</v>
      </c>
    </row>
    <row r="101" spans="1:11" ht="25" x14ac:dyDescent="0.2">
      <c r="A101" s="8" t="s">
        <v>38</v>
      </c>
      <c r="B101" s="13"/>
      <c r="C101" s="6">
        <f t="shared" si="19"/>
        <v>-1582</v>
      </c>
      <c r="D101" s="6">
        <f t="shared" si="19"/>
        <v>493</v>
      </c>
      <c r="E101" s="6">
        <f t="shared" si="19"/>
        <v>575</v>
      </c>
      <c r="F101" s="6">
        <f t="shared" si="19"/>
        <v>-379</v>
      </c>
      <c r="G101" s="6">
        <f t="shared" si="19"/>
        <v>66</v>
      </c>
      <c r="H101" s="6">
        <f t="shared" si="19"/>
        <v>-1965</v>
      </c>
      <c r="I101" s="6">
        <f t="shared" si="19"/>
        <v>1304</v>
      </c>
      <c r="J101" s="6">
        <f t="shared" si="19"/>
        <v>-590</v>
      </c>
      <c r="K101" s="6">
        <f t="shared" si="19"/>
        <v>72</v>
      </c>
    </row>
    <row r="102" spans="1:11" ht="25" x14ac:dyDescent="0.2">
      <c r="A102" s="8" t="s">
        <v>50</v>
      </c>
      <c r="B102" s="13"/>
      <c r="C102" s="6">
        <f>(C34-B34)</f>
        <v>2414</v>
      </c>
      <c r="D102" s="6">
        <f t="shared" ref="D102:K102" si="20">(D34-C34)</f>
        <v>501</v>
      </c>
      <c r="E102" s="6">
        <f t="shared" si="20"/>
        <v>-678</v>
      </c>
      <c r="F102" s="6">
        <f t="shared" si="20"/>
        <v>110</v>
      </c>
      <c r="G102" s="6">
        <f t="shared" si="20"/>
        <v>577</v>
      </c>
      <c r="H102" s="6">
        <f t="shared" si="20"/>
        <v>700</v>
      </c>
      <c r="I102" s="6">
        <f t="shared" si="20"/>
        <v>11</v>
      </c>
      <c r="J102" s="6">
        <f t="shared" si="20"/>
        <v>1568</v>
      </c>
      <c r="K102" s="6">
        <f t="shared" si="20"/>
        <v>2332</v>
      </c>
    </row>
    <row r="103" spans="1:11" ht="25" x14ac:dyDescent="0.2">
      <c r="A103" s="8" t="s">
        <v>52</v>
      </c>
      <c r="B103" s="13"/>
      <c r="C103" s="6">
        <f>(C36-B36)</f>
        <v>0</v>
      </c>
      <c r="D103" s="6">
        <f t="shared" ref="D103:K104" si="21">(D36-C36)</f>
        <v>0</v>
      </c>
      <c r="E103" s="6">
        <f t="shared" si="21"/>
        <v>0</v>
      </c>
      <c r="F103" s="6">
        <f t="shared" si="21"/>
        <v>0</v>
      </c>
      <c r="G103" s="6">
        <f t="shared" si="21"/>
        <v>0</v>
      </c>
      <c r="H103" s="6">
        <f t="shared" si="21"/>
        <v>0</v>
      </c>
      <c r="I103" s="6">
        <f t="shared" si="21"/>
        <v>0</v>
      </c>
      <c r="J103" s="6">
        <f t="shared" si="21"/>
        <v>0</v>
      </c>
      <c r="K103" s="6">
        <f t="shared" si="21"/>
        <v>0</v>
      </c>
    </row>
    <row r="104" spans="1:11" x14ac:dyDescent="0.2">
      <c r="A104" s="8" t="s">
        <v>53</v>
      </c>
      <c r="B104" s="13"/>
      <c r="C104" s="6">
        <f>(C37-B37)</f>
        <v>0</v>
      </c>
      <c r="D104" s="6">
        <f t="shared" si="21"/>
        <v>0</v>
      </c>
      <c r="E104" s="6">
        <f t="shared" si="21"/>
        <v>0</v>
      </c>
      <c r="F104" s="6">
        <f t="shared" si="21"/>
        <v>0</v>
      </c>
      <c r="G104" s="6">
        <f t="shared" si="21"/>
        <v>0</v>
      </c>
      <c r="H104" s="6">
        <f t="shared" si="21"/>
        <v>0</v>
      </c>
      <c r="I104" s="6">
        <f t="shared" si="21"/>
        <v>0</v>
      </c>
      <c r="J104" s="6">
        <f t="shared" si="21"/>
        <v>0</v>
      </c>
      <c r="K104" s="6">
        <f t="shared" si="21"/>
        <v>0</v>
      </c>
    </row>
    <row r="105" spans="1:11" ht="25" x14ac:dyDescent="0.2">
      <c r="A105" s="8" t="s">
        <v>55</v>
      </c>
      <c r="B105" s="13"/>
      <c r="C105" s="6">
        <f>(C39-B39)</f>
        <v>3026</v>
      </c>
      <c r="D105" s="6">
        <f t="shared" ref="D105:K105" si="22">(D39-C39)</f>
        <v>1963</v>
      </c>
      <c r="E105" s="6">
        <f t="shared" si="22"/>
        <v>1972</v>
      </c>
      <c r="F105" s="6">
        <f t="shared" si="22"/>
        <v>-2549</v>
      </c>
      <c r="G105" s="6">
        <f t="shared" si="22"/>
        <v>781</v>
      </c>
      <c r="H105" s="6">
        <f t="shared" si="22"/>
        <v>804</v>
      </c>
      <c r="I105" s="6">
        <f t="shared" si="22"/>
        <v>361</v>
      </c>
      <c r="J105" s="6">
        <f t="shared" si="22"/>
        <v>5210</v>
      </c>
      <c r="K105" s="6">
        <f t="shared" si="22"/>
        <v>-412</v>
      </c>
    </row>
    <row r="106" spans="1:11" ht="25" x14ac:dyDescent="0.2">
      <c r="A106" s="2" t="s">
        <v>109</v>
      </c>
      <c r="B106" s="13"/>
      <c r="C106" s="6">
        <f>SUM(C96:C105)</f>
        <v>13158</v>
      </c>
      <c r="D106" s="6">
        <f t="shared" ref="D106:K106" si="23">SUM(D96:D105)</f>
        <v>15788</v>
      </c>
      <c r="E106" s="6">
        <f t="shared" si="23"/>
        <v>14773</v>
      </c>
      <c r="F106" s="6">
        <f t="shared" si="23"/>
        <v>13725</v>
      </c>
      <c r="G106" s="6">
        <f t="shared" si="23"/>
        <v>17298</v>
      </c>
      <c r="H106" s="6">
        <f t="shared" si="23"/>
        <v>16696</v>
      </c>
      <c r="I106" s="6">
        <f t="shared" si="23"/>
        <v>33703</v>
      </c>
      <c r="J106" s="6">
        <f t="shared" si="23"/>
        <v>24245</v>
      </c>
      <c r="K106" s="6">
        <f t="shared" si="23"/>
        <v>27683</v>
      </c>
    </row>
    <row r="107" spans="1:11" x14ac:dyDescent="0.2">
      <c r="A107" s="2"/>
      <c r="B107" s="13"/>
      <c r="C107" s="6"/>
      <c r="D107" s="6"/>
      <c r="E107" s="6"/>
      <c r="F107" s="6"/>
      <c r="G107" s="6"/>
      <c r="H107" s="6"/>
      <c r="I107" s="6"/>
      <c r="J107" s="6"/>
      <c r="K107" s="6"/>
    </row>
    <row r="108" spans="1:11" ht="25" x14ac:dyDescent="0.2">
      <c r="A108" s="2" t="s">
        <v>92</v>
      </c>
      <c r="B108" s="13"/>
      <c r="C108" s="6"/>
      <c r="D108" s="6"/>
      <c r="E108" s="6"/>
      <c r="F108" s="6"/>
      <c r="G108" s="6"/>
      <c r="H108" s="6"/>
      <c r="I108" s="6"/>
      <c r="J108" s="6"/>
      <c r="K108" s="6"/>
    </row>
    <row r="109" spans="1:11" ht="49" x14ac:dyDescent="0.2">
      <c r="A109" s="14" t="s">
        <v>110</v>
      </c>
      <c r="B109" s="13"/>
      <c r="C109" s="6">
        <f>-C133</f>
        <v>-11680</v>
      </c>
      <c r="D109" s="6">
        <f t="shared" ref="D109:K109" si="24">-D133</f>
        <v>-7471</v>
      </c>
      <c r="E109" s="6">
        <f t="shared" si="24"/>
        <v>-10479</v>
      </c>
      <c r="F109" s="6">
        <f t="shared" si="24"/>
        <v>-9132</v>
      </c>
      <c r="G109" s="6">
        <f t="shared" si="24"/>
        <v>-11372</v>
      </c>
      <c r="H109" s="6">
        <f t="shared" si="24"/>
        <v>-12146</v>
      </c>
      <c r="I109" s="6">
        <f t="shared" si="24"/>
        <v>-12484</v>
      </c>
      <c r="J109" s="6">
        <f t="shared" si="24"/>
        <v>-16984</v>
      </c>
      <c r="K109" s="6">
        <f t="shared" si="24"/>
        <v>-20876</v>
      </c>
    </row>
    <row r="110" spans="1:11" ht="25" x14ac:dyDescent="0.2">
      <c r="A110" s="10" t="s">
        <v>43</v>
      </c>
      <c r="B110" s="13"/>
      <c r="C110" s="6">
        <f>(B25-C25)</f>
        <v>-2687</v>
      </c>
      <c r="D110" s="6">
        <f t="shared" ref="D110:K110" si="25">(C25-D25)</f>
        <v>3716</v>
      </c>
      <c r="E110" s="6">
        <f t="shared" si="25"/>
        <v>175</v>
      </c>
      <c r="F110" s="6">
        <f t="shared" si="25"/>
        <v>-30</v>
      </c>
      <c r="G110" s="6">
        <f t="shared" si="25"/>
        <v>341</v>
      </c>
      <c r="H110" s="6">
        <f t="shared" si="25"/>
        <v>-1698</v>
      </c>
      <c r="I110" s="6">
        <f t="shared" si="25"/>
        <v>-1170</v>
      </c>
      <c r="J110" s="6">
        <f t="shared" si="25"/>
        <v>-489</v>
      </c>
      <c r="K110" s="6">
        <f t="shared" si="25"/>
        <v>-1312</v>
      </c>
    </row>
    <row r="111" spans="1:11" ht="37" x14ac:dyDescent="0.2">
      <c r="A111" s="10" t="s">
        <v>44</v>
      </c>
      <c r="B111" s="13"/>
      <c r="C111" s="6">
        <f t="shared" ref="C111:K114" si="26">(B26-C26)</f>
        <v>-497</v>
      </c>
      <c r="D111" s="6">
        <f t="shared" si="26"/>
        <v>-187</v>
      </c>
      <c r="E111" s="6">
        <f t="shared" si="26"/>
        <v>2380</v>
      </c>
      <c r="F111" s="6">
        <f t="shared" si="26"/>
        <v>665</v>
      </c>
      <c r="G111" s="6">
        <f t="shared" si="26"/>
        <v>-430</v>
      </c>
      <c r="H111" s="6">
        <f t="shared" si="26"/>
        <v>-325</v>
      </c>
      <c r="I111" s="6">
        <f t="shared" si="26"/>
        <v>-514</v>
      </c>
      <c r="J111" s="6">
        <f t="shared" si="26"/>
        <v>-1862</v>
      </c>
      <c r="K111" s="6">
        <f t="shared" si="26"/>
        <v>1574</v>
      </c>
    </row>
    <row r="112" spans="1:11" x14ac:dyDescent="0.2">
      <c r="A112" s="10" t="s">
        <v>45</v>
      </c>
      <c r="B112" s="13"/>
      <c r="C112" s="6">
        <f t="shared" si="26"/>
        <v>-26413</v>
      </c>
      <c r="D112" s="6">
        <f t="shared" si="26"/>
        <v>226</v>
      </c>
      <c r="E112" s="6">
        <f t="shared" si="26"/>
        <v>398</v>
      </c>
      <c r="F112" s="6">
        <f t="shared" si="26"/>
        <v>131</v>
      </c>
      <c r="G112" s="6">
        <f t="shared" si="26"/>
        <v>-5595</v>
      </c>
      <c r="H112" s="6">
        <f t="shared" si="26"/>
        <v>-3363</v>
      </c>
      <c r="I112" s="6">
        <f t="shared" si="26"/>
        <v>-2305</v>
      </c>
      <c r="J112" s="6">
        <f t="shared" si="26"/>
        <v>-48954</v>
      </c>
      <c r="K112" s="6">
        <f t="shared" si="26"/>
        <v>-341</v>
      </c>
    </row>
    <row r="113" spans="1:11" ht="25" x14ac:dyDescent="0.2">
      <c r="A113" s="10" t="s">
        <v>46</v>
      </c>
      <c r="B113" s="13"/>
      <c r="C113" s="6">
        <f t="shared" si="26"/>
        <v>0</v>
      </c>
      <c r="D113" s="6">
        <f t="shared" si="26"/>
        <v>0</v>
      </c>
      <c r="E113" s="6">
        <f t="shared" si="26"/>
        <v>-4994</v>
      </c>
      <c r="F113" s="6">
        <f t="shared" si="26"/>
        <v>-733</v>
      </c>
      <c r="G113" s="6">
        <f t="shared" si="26"/>
        <v>-128</v>
      </c>
      <c r="H113" s="6">
        <f t="shared" si="26"/>
        <v>-1397</v>
      </c>
      <c r="I113" s="6">
        <f t="shared" si="26"/>
        <v>176</v>
      </c>
      <c r="J113" s="6">
        <f t="shared" si="26"/>
        <v>-761</v>
      </c>
      <c r="K113" s="6">
        <f t="shared" si="26"/>
        <v>-1096</v>
      </c>
    </row>
    <row r="114" spans="1:11" x14ac:dyDescent="0.2">
      <c r="A114" s="10" t="s">
        <v>47</v>
      </c>
      <c r="B114" s="13"/>
      <c r="C114" s="6">
        <f t="shared" si="26"/>
        <v>-5956</v>
      </c>
      <c r="D114" s="6">
        <f t="shared" si="26"/>
        <v>183</v>
      </c>
      <c r="E114" s="6">
        <f t="shared" si="26"/>
        <v>4891</v>
      </c>
      <c r="F114" s="6">
        <f t="shared" si="26"/>
        <v>10</v>
      </c>
      <c r="G114" s="6">
        <f t="shared" si="26"/>
        <v>61</v>
      </c>
      <c r="H114" s="6">
        <f t="shared" si="26"/>
        <v>-497</v>
      </c>
      <c r="I114" s="6">
        <f t="shared" si="26"/>
        <v>-720</v>
      </c>
      <c r="J114" s="6">
        <f t="shared" si="26"/>
        <v>-914</v>
      </c>
      <c r="K114" s="6">
        <f t="shared" si="26"/>
        <v>912</v>
      </c>
    </row>
    <row r="115" spans="1:11" ht="25" x14ac:dyDescent="0.2">
      <c r="A115" s="2" t="s">
        <v>111</v>
      </c>
      <c r="B115" s="13"/>
      <c r="C115" s="6">
        <f>SUM(C109:C114)</f>
        <v>-47233</v>
      </c>
      <c r="D115" s="6">
        <f t="shared" ref="D115:K115" si="27">SUM(D109:D114)</f>
        <v>-3533</v>
      </c>
      <c r="E115" s="6">
        <f t="shared" si="27"/>
        <v>-7629</v>
      </c>
      <c r="F115" s="6">
        <f t="shared" si="27"/>
        <v>-9089</v>
      </c>
      <c r="G115" s="6">
        <f t="shared" si="27"/>
        <v>-17123</v>
      </c>
      <c r="H115" s="6">
        <f t="shared" si="27"/>
        <v>-19426</v>
      </c>
      <c r="I115" s="6">
        <f t="shared" si="27"/>
        <v>-17017</v>
      </c>
      <c r="J115" s="6">
        <f t="shared" si="27"/>
        <v>-69964</v>
      </c>
      <c r="K115" s="6">
        <f t="shared" si="27"/>
        <v>-21139</v>
      </c>
    </row>
    <row r="116" spans="1:11" x14ac:dyDescent="0.2">
      <c r="A116" s="2"/>
      <c r="B116" s="13"/>
      <c r="C116" s="6"/>
      <c r="D116" s="6"/>
      <c r="E116" s="6"/>
      <c r="F116" s="6"/>
      <c r="G116" s="6"/>
      <c r="H116" s="6"/>
      <c r="I116" s="6"/>
      <c r="J116" s="6"/>
      <c r="K116" s="6"/>
    </row>
    <row r="117" spans="1:11" ht="25" x14ac:dyDescent="0.2">
      <c r="A117" s="2" t="s">
        <v>94</v>
      </c>
      <c r="B117" s="13"/>
      <c r="C117" s="6"/>
      <c r="D117" s="6"/>
      <c r="E117" s="6"/>
      <c r="F117" s="6"/>
      <c r="G117" s="6"/>
      <c r="H117" s="6"/>
      <c r="I117" s="6"/>
      <c r="J117" s="6"/>
      <c r="K117" s="6"/>
    </row>
    <row r="118" spans="1:11" ht="49" x14ac:dyDescent="0.2">
      <c r="A118" s="11" t="s">
        <v>112</v>
      </c>
      <c r="B118" s="13"/>
      <c r="C118" s="6">
        <f>(C35+C38+C43)-(B35+B38+B43)</f>
        <v>7894</v>
      </c>
      <c r="D118" s="6">
        <f t="shared" ref="D118:K118" si="28">(D35+D38+D43)-(C35+C38+C43)</f>
        <v>1149</v>
      </c>
      <c r="E118" s="6">
        <f t="shared" si="28"/>
        <v>7389</v>
      </c>
      <c r="F118" s="6">
        <f t="shared" si="28"/>
        <v>387</v>
      </c>
      <c r="G118" s="6">
        <f t="shared" si="28"/>
        <v>4387</v>
      </c>
      <c r="H118" s="6">
        <f t="shared" si="28"/>
        <v>8425</v>
      </c>
      <c r="I118" s="6">
        <f t="shared" si="28"/>
        <v>3510</v>
      </c>
      <c r="J118" s="6">
        <f t="shared" si="28"/>
        <v>47187</v>
      </c>
      <c r="K118" s="6">
        <f t="shared" si="28"/>
        <v>246</v>
      </c>
    </row>
    <row r="119" spans="1:11" ht="37" x14ac:dyDescent="0.2">
      <c r="A119" s="11" t="s">
        <v>58</v>
      </c>
      <c r="B119" s="13"/>
      <c r="C119" s="6">
        <f>C44-B44</f>
        <v>1686</v>
      </c>
      <c r="D119" s="6">
        <f t="shared" ref="D119:K119" si="29">D44-C44</f>
        <v>178</v>
      </c>
      <c r="E119" s="6">
        <f t="shared" si="29"/>
        <v>1825</v>
      </c>
      <c r="F119" s="6">
        <f t="shared" si="29"/>
        <v>1024</v>
      </c>
      <c r="G119" s="6">
        <f t="shared" si="29"/>
        <v>607</v>
      </c>
      <c r="H119" s="6">
        <f t="shared" si="29"/>
        <v>1288</v>
      </c>
      <c r="I119" s="6">
        <f t="shared" si="29"/>
        <v>-10598</v>
      </c>
      <c r="J119" s="6">
        <f t="shared" si="29"/>
        <v>3333</v>
      </c>
      <c r="K119" s="6">
        <f t="shared" si="29"/>
        <v>591</v>
      </c>
    </row>
    <row r="120" spans="1:11" ht="25" x14ac:dyDescent="0.2">
      <c r="A120" s="11" t="s">
        <v>59</v>
      </c>
      <c r="B120" s="13"/>
      <c r="C120" s="6">
        <f t="shared" ref="C120:K122" si="30">C45-B45</f>
        <v>0</v>
      </c>
      <c r="D120" s="6">
        <f t="shared" si="30"/>
        <v>0</v>
      </c>
      <c r="E120" s="6">
        <f t="shared" si="30"/>
        <v>0</v>
      </c>
      <c r="F120" s="6">
        <f t="shared" si="30"/>
        <v>0</v>
      </c>
      <c r="G120" s="6">
        <f t="shared" si="30"/>
        <v>0</v>
      </c>
      <c r="H120" s="6">
        <f t="shared" si="30"/>
        <v>0</v>
      </c>
      <c r="I120" s="6">
        <f t="shared" si="30"/>
        <v>0</v>
      </c>
      <c r="J120" s="6">
        <f t="shared" si="30"/>
        <v>0</v>
      </c>
      <c r="K120" s="6">
        <f t="shared" si="30"/>
        <v>0</v>
      </c>
    </row>
    <row r="121" spans="1:11" ht="25" x14ac:dyDescent="0.2">
      <c r="A121" s="11" t="s">
        <v>60</v>
      </c>
      <c r="B121" s="13"/>
      <c r="C121" s="6">
        <f t="shared" si="30"/>
        <v>5172</v>
      </c>
      <c r="D121" s="6">
        <f t="shared" si="30"/>
        <v>237</v>
      </c>
      <c r="E121" s="6">
        <f t="shared" si="30"/>
        <v>-1887</v>
      </c>
      <c r="F121" s="6">
        <f t="shared" si="30"/>
        <v>-565</v>
      </c>
      <c r="G121" s="6">
        <f t="shared" si="30"/>
        <v>-182</v>
      </c>
      <c r="H121" s="6">
        <f t="shared" si="30"/>
        <v>288</v>
      </c>
      <c r="I121" s="6">
        <f t="shared" si="30"/>
        <v>-21</v>
      </c>
      <c r="J121" s="6">
        <f t="shared" si="30"/>
        <v>4425</v>
      </c>
      <c r="K121" s="6">
        <f t="shared" si="30"/>
        <v>-2455</v>
      </c>
    </row>
    <row r="122" spans="1:11" ht="37" x14ac:dyDescent="0.2">
      <c r="A122" s="11" t="s">
        <v>61</v>
      </c>
      <c r="B122" s="13"/>
      <c r="C122" s="6">
        <f t="shared" si="30"/>
        <v>15871</v>
      </c>
      <c r="D122" s="6">
        <f t="shared" si="30"/>
        <v>984</v>
      </c>
      <c r="E122" s="6">
        <f t="shared" si="30"/>
        <v>-16041</v>
      </c>
      <c r="F122" s="6">
        <f t="shared" si="30"/>
        <v>109</v>
      </c>
      <c r="G122" s="6">
        <f t="shared" si="30"/>
        <v>155</v>
      </c>
      <c r="H122" s="6">
        <f t="shared" si="30"/>
        <v>225</v>
      </c>
      <c r="I122" s="6">
        <f t="shared" si="30"/>
        <v>-89</v>
      </c>
      <c r="J122" s="6">
        <f t="shared" si="30"/>
        <v>-41</v>
      </c>
      <c r="K122" s="6">
        <f t="shared" si="30"/>
        <v>56</v>
      </c>
    </row>
    <row r="123" spans="1:11" ht="37" x14ac:dyDescent="0.2">
      <c r="A123" s="15" t="s">
        <v>113</v>
      </c>
      <c r="B123" s="13"/>
      <c r="C123" s="6">
        <f>C138</f>
        <v>-939</v>
      </c>
      <c r="D123" s="6">
        <f t="shared" ref="D123:K123" si="31">D138</f>
        <v>-4062</v>
      </c>
      <c r="E123" s="6">
        <f t="shared" si="31"/>
        <v>-5554</v>
      </c>
      <c r="F123" s="6">
        <f t="shared" si="31"/>
        <v>-6370</v>
      </c>
      <c r="G123" s="6">
        <f t="shared" si="31"/>
        <v>-7253</v>
      </c>
      <c r="H123" s="6">
        <f t="shared" si="31"/>
        <v>-6499</v>
      </c>
      <c r="I123" s="6">
        <f t="shared" si="31"/>
        <v>-9439</v>
      </c>
      <c r="J123" s="6">
        <f t="shared" si="31"/>
        <v>-8678</v>
      </c>
      <c r="K123" s="6">
        <f t="shared" si="31"/>
        <v>-1685</v>
      </c>
    </row>
    <row r="124" spans="1:11" ht="37" x14ac:dyDescent="0.2">
      <c r="A124" s="2" t="s">
        <v>114</v>
      </c>
      <c r="C124" s="6">
        <f>SUM(C118:C123)</f>
        <v>29684</v>
      </c>
      <c r="D124" s="6">
        <f t="shared" ref="D124:K124" si="32">SUM(D118:D123)</f>
        <v>-1514</v>
      </c>
      <c r="E124" s="6">
        <f t="shared" si="32"/>
        <v>-14268</v>
      </c>
      <c r="F124" s="6">
        <f t="shared" si="32"/>
        <v>-5415</v>
      </c>
      <c r="G124" s="6">
        <f t="shared" si="32"/>
        <v>-2286</v>
      </c>
      <c r="H124" s="6">
        <f t="shared" si="32"/>
        <v>3727</v>
      </c>
      <c r="I124" s="6">
        <f t="shared" si="32"/>
        <v>-16637</v>
      </c>
      <c r="J124" s="6">
        <f t="shared" si="32"/>
        <v>46226</v>
      </c>
      <c r="K124" s="6">
        <f t="shared" si="32"/>
        <v>-3247</v>
      </c>
    </row>
    <row r="125" spans="1:11" x14ac:dyDescent="0.2">
      <c r="A125" s="2"/>
      <c r="C125" s="6"/>
      <c r="D125" s="6"/>
      <c r="E125" s="6"/>
      <c r="F125" s="6"/>
      <c r="G125" s="6"/>
      <c r="H125" s="6"/>
      <c r="I125" s="6"/>
      <c r="J125" s="6"/>
      <c r="K125" s="6"/>
    </row>
    <row r="126" spans="1:11" ht="37" x14ac:dyDescent="0.2">
      <c r="A126" s="2" t="s">
        <v>115</v>
      </c>
      <c r="C126" s="6">
        <f>B12</f>
        <v>6065</v>
      </c>
      <c r="D126" s="6">
        <f t="shared" ref="D126:K126" si="33">C12</f>
        <v>1674</v>
      </c>
      <c r="E126" s="6">
        <f t="shared" si="33"/>
        <v>12415</v>
      </c>
      <c r="F126" s="6">
        <f t="shared" si="33"/>
        <v>5291</v>
      </c>
      <c r="G126" s="6">
        <f t="shared" si="33"/>
        <v>4512</v>
      </c>
      <c r="H126" s="6">
        <f t="shared" si="33"/>
        <v>2401</v>
      </c>
      <c r="I126" s="6">
        <f t="shared" si="33"/>
        <v>3398</v>
      </c>
      <c r="J126" s="6">
        <f t="shared" si="33"/>
        <v>3447</v>
      </c>
      <c r="K126" s="6">
        <f t="shared" si="33"/>
        <v>3954</v>
      </c>
    </row>
    <row r="127" spans="1:11" ht="73" x14ac:dyDescent="0.2">
      <c r="A127" s="2" t="s">
        <v>116</v>
      </c>
      <c r="C127" s="6">
        <f>C124+C115+C106</f>
        <v>-4391</v>
      </c>
      <c r="D127" s="6">
        <f t="shared" ref="D127:K127" si="34">D124+D115+D106</f>
        <v>10741</v>
      </c>
      <c r="E127" s="6">
        <f t="shared" si="34"/>
        <v>-7124</v>
      </c>
      <c r="F127" s="6">
        <f t="shared" si="34"/>
        <v>-779</v>
      </c>
      <c r="G127" s="6">
        <f t="shared" si="34"/>
        <v>-2111</v>
      </c>
      <c r="H127" s="6">
        <f t="shared" si="34"/>
        <v>997</v>
      </c>
      <c r="I127" s="6">
        <f t="shared" si="34"/>
        <v>49</v>
      </c>
      <c r="J127" s="6">
        <f t="shared" si="34"/>
        <v>507</v>
      </c>
      <c r="K127" s="6">
        <f t="shared" si="34"/>
        <v>3297</v>
      </c>
    </row>
    <row r="128" spans="1:11" ht="37" x14ac:dyDescent="0.2">
      <c r="A128" s="2" t="s">
        <v>117</v>
      </c>
      <c r="C128" s="6">
        <f>C12</f>
        <v>1674</v>
      </c>
      <c r="D128" s="6">
        <f t="shared" ref="D128:K128" si="35">D12</f>
        <v>12415</v>
      </c>
      <c r="E128" s="6">
        <f t="shared" si="35"/>
        <v>5291</v>
      </c>
      <c r="F128" s="6">
        <f t="shared" si="35"/>
        <v>4512</v>
      </c>
      <c r="G128" s="6">
        <f t="shared" si="35"/>
        <v>2401</v>
      </c>
      <c r="H128" s="6">
        <f t="shared" si="35"/>
        <v>3398</v>
      </c>
      <c r="I128" s="6">
        <f t="shared" si="35"/>
        <v>3447</v>
      </c>
      <c r="J128" s="6">
        <f t="shared" si="35"/>
        <v>3954</v>
      </c>
      <c r="K128" s="6">
        <f t="shared" si="35"/>
        <v>7251</v>
      </c>
    </row>
    <row r="129" spans="1:11" x14ac:dyDescent="0.2">
      <c r="A129" s="6" t="s">
        <v>118</v>
      </c>
      <c r="C129" s="6" t="s">
        <v>107</v>
      </c>
      <c r="D129" s="6" t="s">
        <v>107</v>
      </c>
      <c r="E129" s="6" t="s">
        <v>107</v>
      </c>
      <c r="F129" s="6" t="s">
        <v>107</v>
      </c>
      <c r="G129" s="6" t="s">
        <v>107</v>
      </c>
      <c r="H129" s="6" t="s">
        <v>107</v>
      </c>
      <c r="I129" s="6" t="s">
        <v>107</v>
      </c>
      <c r="J129" s="6" t="s">
        <v>107</v>
      </c>
      <c r="K129" s="6" t="s">
        <v>107</v>
      </c>
    </row>
    <row r="131" spans="1:11" ht="25" x14ac:dyDescent="0.2">
      <c r="A131" s="2" t="s">
        <v>119</v>
      </c>
      <c r="C131" s="6">
        <f>B23</f>
        <v>23515</v>
      </c>
      <c r="D131" s="6">
        <f t="shared" ref="D131:K131" si="36">C23</f>
        <v>27559</v>
      </c>
      <c r="E131" s="6">
        <f t="shared" si="36"/>
        <v>27232</v>
      </c>
      <c r="F131" s="6">
        <f t="shared" si="36"/>
        <v>29840</v>
      </c>
      <c r="G131" s="6">
        <f t="shared" si="36"/>
        <v>30953</v>
      </c>
      <c r="H131" s="6">
        <f t="shared" si="36"/>
        <v>33665</v>
      </c>
      <c r="I131" s="6">
        <f t="shared" si="36"/>
        <v>36253</v>
      </c>
      <c r="J131" s="6">
        <f t="shared" si="36"/>
        <v>38470</v>
      </c>
      <c r="K131" s="6">
        <f t="shared" si="36"/>
        <v>44437</v>
      </c>
    </row>
    <row r="132" spans="1:11" x14ac:dyDescent="0.2">
      <c r="A132" s="2" t="s">
        <v>108</v>
      </c>
      <c r="C132" s="6">
        <f>-C75</f>
        <v>-7636</v>
      </c>
      <c r="D132" s="6">
        <f t="shared" ref="D132:K132" si="37">-D75</f>
        <v>-7798</v>
      </c>
      <c r="E132" s="6">
        <f t="shared" si="37"/>
        <v>-7871</v>
      </c>
      <c r="F132" s="6">
        <f t="shared" si="37"/>
        <v>-8019</v>
      </c>
      <c r="G132" s="6">
        <f t="shared" si="37"/>
        <v>-8660</v>
      </c>
      <c r="H132" s="6">
        <f t="shared" si="37"/>
        <v>-9558</v>
      </c>
      <c r="I132" s="6">
        <f t="shared" si="37"/>
        <v>-10267</v>
      </c>
      <c r="J132" s="6">
        <f t="shared" si="37"/>
        <v>-11017</v>
      </c>
      <c r="K132" s="6">
        <f t="shared" si="37"/>
        <v>-12953</v>
      </c>
    </row>
    <row r="133" spans="1:11" ht="25" x14ac:dyDescent="0.2">
      <c r="A133" s="2" t="s">
        <v>93</v>
      </c>
      <c r="C133" s="16">
        <f>C134-(C131+C132)</f>
        <v>11680</v>
      </c>
      <c r="D133" s="16">
        <f t="shared" ref="D133:K133" si="38">D134-(D131+D132)</f>
        <v>7471</v>
      </c>
      <c r="E133" s="16">
        <f t="shared" si="38"/>
        <v>10479</v>
      </c>
      <c r="F133" s="16">
        <f t="shared" si="38"/>
        <v>9132</v>
      </c>
      <c r="G133" s="16">
        <f t="shared" si="38"/>
        <v>11372</v>
      </c>
      <c r="H133" s="16">
        <f t="shared" si="38"/>
        <v>12146</v>
      </c>
      <c r="I133" s="16">
        <f t="shared" si="38"/>
        <v>12484</v>
      </c>
      <c r="J133" s="16">
        <f t="shared" si="38"/>
        <v>16984</v>
      </c>
      <c r="K133" s="16">
        <f t="shared" si="38"/>
        <v>20876</v>
      </c>
    </row>
    <row r="134" spans="1:11" ht="25" x14ac:dyDescent="0.2">
      <c r="A134" s="2" t="s">
        <v>120</v>
      </c>
      <c r="C134" s="6">
        <f>C23</f>
        <v>27559</v>
      </c>
      <c r="D134" s="6">
        <f t="shared" ref="D134:K134" si="39">D23</f>
        <v>27232</v>
      </c>
      <c r="E134" s="6">
        <f t="shared" si="39"/>
        <v>29840</v>
      </c>
      <c r="F134" s="6">
        <f t="shared" si="39"/>
        <v>30953</v>
      </c>
      <c r="G134" s="6">
        <f t="shared" si="39"/>
        <v>33665</v>
      </c>
      <c r="H134" s="6">
        <f t="shared" si="39"/>
        <v>36253</v>
      </c>
      <c r="I134" s="6">
        <f t="shared" si="39"/>
        <v>38470</v>
      </c>
      <c r="J134" s="6">
        <f t="shared" si="39"/>
        <v>44437</v>
      </c>
      <c r="K134" s="6">
        <f t="shared" si="39"/>
        <v>52360</v>
      </c>
    </row>
    <row r="136" spans="1:11" ht="25" x14ac:dyDescent="0.2">
      <c r="A136" s="2" t="s">
        <v>121</v>
      </c>
      <c r="C136" s="6">
        <f>B60</f>
        <v>44434</v>
      </c>
      <c r="D136" s="6">
        <f t="shared" ref="D136:K136" si="40">C60</f>
        <v>47655</v>
      </c>
      <c r="E136" s="6">
        <f t="shared" si="40"/>
        <v>49796</v>
      </c>
      <c r="F136" s="6">
        <f t="shared" si="40"/>
        <v>51058</v>
      </c>
      <c r="G136" s="6">
        <f t="shared" si="40"/>
        <v>53068</v>
      </c>
      <c r="H136" s="6">
        <f t="shared" si="40"/>
        <v>53978</v>
      </c>
      <c r="I136" s="6">
        <f t="shared" si="40"/>
        <v>56174</v>
      </c>
      <c r="J136" s="6">
        <f t="shared" si="40"/>
        <v>69449</v>
      </c>
      <c r="K136" s="6">
        <f t="shared" si="40"/>
        <v>72502</v>
      </c>
    </row>
    <row r="137" spans="1:11" x14ac:dyDescent="0.2">
      <c r="A137" s="2" t="s">
        <v>91</v>
      </c>
      <c r="C137" s="6">
        <f>C96</f>
        <v>4160</v>
      </c>
      <c r="D137" s="6">
        <f t="shared" ref="D137:K137" si="41">D96</f>
        <v>6203</v>
      </c>
      <c r="E137" s="6">
        <f t="shared" si="41"/>
        <v>6816</v>
      </c>
      <c r="F137" s="6">
        <f t="shared" si="41"/>
        <v>8380</v>
      </c>
      <c r="G137" s="6">
        <f t="shared" si="41"/>
        <v>8163</v>
      </c>
      <c r="H137" s="6">
        <f t="shared" si="41"/>
        <v>8695</v>
      </c>
      <c r="I137" s="6">
        <f t="shared" si="41"/>
        <v>22714</v>
      </c>
      <c r="J137" s="6">
        <f t="shared" si="41"/>
        <v>11731</v>
      </c>
      <c r="K137" s="6">
        <f t="shared" si="41"/>
        <v>13057</v>
      </c>
    </row>
    <row r="138" spans="1:11" ht="37" x14ac:dyDescent="0.2">
      <c r="A138" s="2" t="s">
        <v>122</v>
      </c>
      <c r="C138" s="17">
        <f>C139-(C136+C137)</f>
        <v>-939</v>
      </c>
      <c r="D138" s="17">
        <f t="shared" ref="D138:K138" si="42">D139-(D136+D137)</f>
        <v>-4062</v>
      </c>
      <c r="E138" s="17">
        <f t="shared" si="42"/>
        <v>-5554</v>
      </c>
      <c r="F138" s="17">
        <f t="shared" si="42"/>
        <v>-6370</v>
      </c>
      <c r="G138" s="17">
        <f t="shared" si="42"/>
        <v>-7253</v>
      </c>
      <c r="H138" s="17">
        <f t="shared" si="42"/>
        <v>-6499</v>
      </c>
      <c r="I138" s="17">
        <f t="shared" si="42"/>
        <v>-9439</v>
      </c>
      <c r="J138" s="17">
        <f t="shared" si="42"/>
        <v>-8678</v>
      </c>
      <c r="K138" s="17">
        <f t="shared" si="42"/>
        <v>-1685</v>
      </c>
    </row>
    <row r="139" spans="1:11" ht="25" x14ac:dyDescent="0.2">
      <c r="A139" s="2" t="s">
        <v>123</v>
      </c>
      <c r="C139" s="6">
        <f>C60</f>
        <v>47655</v>
      </c>
      <c r="D139" s="6">
        <f t="shared" ref="D139:K139" si="43">D60</f>
        <v>49796</v>
      </c>
      <c r="E139" s="6">
        <f t="shared" si="43"/>
        <v>51058</v>
      </c>
      <c r="F139" s="6">
        <f t="shared" si="43"/>
        <v>53068</v>
      </c>
      <c r="G139" s="6">
        <f t="shared" si="43"/>
        <v>53978</v>
      </c>
      <c r="H139" s="6">
        <f t="shared" si="43"/>
        <v>56174</v>
      </c>
      <c r="I139" s="6">
        <f t="shared" si="43"/>
        <v>69449</v>
      </c>
      <c r="J139" s="6">
        <f t="shared" si="43"/>
        <v>72502</v>
      </c>
      <c r="K139" s="6">
        <f t="shared" si="43"/>
        <v>83874</v>
      </c>
    </row>
  </sheetData>
  <mergeCells count="3">
    <mergeCell ref="C1:H1"/>
    <mergeCell ref="D4:I4"/>
    <mergeCell ref="D5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Disney </vt:lpstr>
      <vt:lpstr>Comcast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2020-04-27T01:31:54Z</dcterms:created>
  <dcterms:modified xsi:type="dcterms:W3CDTF">2020-04-27T01:55:52Z</dcterms:modified>
</cp:coreProperties>
</file>